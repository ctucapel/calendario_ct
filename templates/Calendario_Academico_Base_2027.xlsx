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uoccl0-my.sharepoint.com/personal/ctucapel_duoc_cl/Documents/Documentos/2027-1/calendario_2027/versión_09-09/"/>
    </mc:Choice>
  </mc:AlternateContent>
  <xr:revisionPtr revIDLastSave="1" documentId="8_{D7FDE430-6AF0-4FA4-99D1-9CC971F9341A}" xr6:coauthVersionLast="47" xr6:coauthVersionMax="47" xr10:uidLastSave="{1B7E37EE-862A-451C-8236-D1A222415400}"/>
  <bookViews>
    <workbookView xWindow="28680" yWindow="-120" windowWidth="20730" windowHeight="11040" firstSheet="1" activeTab="1" xr2:uid="{00000000-000D-0000-FFFF-FFFF00000000}"/>
  </bookViews>
  <sheets>
    <sheet name="CA Gráfico 2025" sheetId="1" state="hidden" r:id="rId1"/>
    <sheet name="CA Procesos" sheetId="2" r:id="rId2"/>
    <sheet name="CA Cronológico" sheetId="3" r:id="rId3"/>
    <sheet name="CA Gráfico 2027" sheetId="5" r:id="rId4"/>
  </sheets>
  <definedNames>
    <definedName name="_xlnm._FilterDatabase" localSheetId="2" hidden="1">'CA Cronológico'!$C$4:$G$4</definedName>
    <definedName name="_xlnm.Print_Area" localSheetId="2">'CA Cronológico'!$D$2:$F$93</definedName>
    <definedName name="_xlnm.Print_Area" localSheetId="0">'CA Gráfico 2025'!$A$1:$AK$34</definedName>
    <definedName name="_xlnm.Print_Area" localSheetId="3">'CA Gráfico 2027'!$D$5:$AJ$42</definedName>
    <definedName name="_xlnm.Print_Area" localSheetId="1">'CA Procesos'!$C$2:$I$69</definedName>
    <definedName name="Fecha__2025_01_01_WinCalendar" localSheetId="0">'CA Gráfico 2025'!$E$5</definedName>
    <definedName name="Fecha__2025_01_02_WinCalendar" localSheetId="0">'CA Gráfico 2025'!$F$5</definedName>
    <definedName name="Fecha__2025_01_03_WinCalendar" localSheetId="0">'CA Gráfico 2025'!$G$5</definedName>
    <definedName name="Fecha__2025_01_04_WinCalendar" localSheetId="0">'CA Gráfico 2025'!$H$5</definedName>
    <definedName name="Fecha__2025_01_05_WinCalendar" localSheetId="0">'CA Gráfico 2025'!$I$5</definedName>
    <definedName name="Fecha__2025_01_06_WinCalendar" localSheetId="0">'CA Gráfico 2025'!$C$6</definedName>
    <definedName name="Fecha__2025_01_07_WinCalendar" localSheetId="0">'CA Gráfico 2025'!$D$6</definedName>
    <definedName name="Fecha__2025_01_08_WinCalendar" localSheetId="0">'CA Gráfico 2025'!$E$6</definedName>
    <definedName name="Fecha__2025_01_09_WinCalendar" localSheetId="0">'CA Gráfico 2025'!$F$6</definedName>
    <definedName name="Fecha__2025_01_10_WinCalendar" localSheetId="0">'CA Gráfico 2025'!$G$6</definedName>
    <definedName name="Fecha__2025_01_11_WinCalendar" localSheetId="0">'CA Gráfico 2025'!$H$6</definedName>
    <definedName name="Fecha__2025_01_12_WinCalendar" localSheetId="0">'CA Gráfico 2025'!$I$6</definedName>
    <definedName name="Fecha__2025_01_13_WinCalendar" localSheetId="0">'CA Gráfico 2025'!$C$7</definedName>
    <definedName name="Fecha__2025_01_14_WinCalendar" localSheetId="0">'CA Gráfico 2025'!$D$7</definedName>
    <definedName name="Fecha__2025_01_15_WinCalendar" localSheetId="0">'CA Gráfico 2025'!$E$7</definedName>
    <definedName name="Fecha__2025_01_16_WinCalendar" localSheetId="0">'CA Gráfico 2025'!$F$7</definedName>
    <definedName name="Fecha__2025_01_17_WinCalendar" localSheetId="0">'CA Gráfico 2025'!$G$7</definedName>
    <definedName name="Fecha__2025_01_18_WinCalendar" localSheetId="0">'CA Gráfico 2025'!$H$7</definedName>
    <definedName name="Fecha__2025_01_19_WinCalendar" localSheetId="0">'CA Gráfico 2025'!$I$7</definedName>
    <definedName name="Fecha__2025_01_20_WinCalendar" localSheetId="0">'CA Gráfico 2025'!$C$8</definedName>
    <definedName name="Fecha__2025_01_21_WinCalendar" localSheetId="0">'CA Gráfico 2025'!$D$8</definedName>
    <definedName name="Fecha__2025_01_22_WinCalendar" localSheetId="0">'CA Gráfico 2025'!$E$8</definedName>
    <definedName name="Fecha__2025_01_23_WinCalendar" localSheetId="0">'CA Gráfico 2025'!$F$8</definedName>
    <definedName name="Fecha__2025_01_24_WinCalendar" localSheetId="0">'CA Gráfico 2025'!$G$8</definedName>
    <definedName name="Fecha__2025_01_25_WinCalendar" localSheetId="0">'CA Gráfico 2025'!$H$8</definedName>
    <definedName name="Fecha__2025_01_26_WinCalendar" localSheetId="0">'CA Gráfico 2025'!$I$8</definedName>
    <definedName name="Fecha__2025_01_27_WinCalendar" localSheetId="0">'CA Gráfico 2025'!$C$9</definedName>
    <definedName name="Fecha__2025_01_28_WinCalendar" localSheetId="0">'CA Gráfico 2025'!$D$9</definedName>
    <definedName name="Fecha__2025_01_29_WinCalendar" localSheetId="0">'CA Gráfico 2025'!$E$9</definedName>
    <definedName name="Fecha__2025_01_30_WinCalendar" localSheetId="0">'CA Gráfico 2025'!$F$9</definedName>
    <definedName name="Fecha__2025_01_31_WinCalendar" localSheetId="0">'CA Gráfico 2025'!$G$9</definedName>
    <definedName name="Fecha__2025_02_01_WinCalendar" localSheetId="0">'CA Gráfico 2025'!$Q$5</definedName>
    <definedName name="Fecha__2025_02_02_WinCalendar" localSheetId="0">'CA Gráfico 2025'!$R$5</definedName>
    <definedName name="Fecha__2025_02_03_WinCalendar" localSheetId="0">'CA Gráfico 2025'!$L$6</definedName>
    <definedName name="Fecha__2025_02_04_WinCalendar" localSheetId="0">'CA Gráfico 2025'!$M$6</definedName>
    <definedName name="Fecha__2025_02_05_WinCalendar" localSheetId="0">'CA Gráfico 2025'!$N$6</definedName>
    <definedName name="Fecha__2025_02_06_WinCalendar" localSheetId="0">'CA Gráfico 2025'!$O$6</definedName>
    <definedName name="Fecha__2025_02_07_WinCalendar" localSheetId="0">'CA Gráfico 2025'!$P$6</definedName>
    <definedName name="Fecha__2025_02_08_WinCalendar" localSheetId="0">'CA Gráfico 2025'!$Q$6</definedName>
    <definedName name="Fecha__2025_02_09_WinCalendar" localSheetId="0">'CA Gráfico 2025'!$R$6</definedName>
    <definedName name="Fecha__2025_02_10_WinCalendar" localSheetId="0">'CA Gráfico 2025'!$L$7</definedName>
    <definedName name="Fecha__2025_02_11_WinCalendar" localSheetId="0">'CA Gráfico 2025'!$M$7</definedName>
    <definedName name="Fecha__2025_02_12_WinCalendar" localSheetId="0">'CA Gráfico 2025'!$N$7</definedName>
    <definedName name="Fecha__2025_02_13_WinCalendar" localSheetId="0">'CA Gráfico 2025'!$O$7</definedName>
    <definedName name="Fecha__2025_02_14_WinCalendar" localSheetId="0">'CA Gráfico 2025'!$P$7</definedName>
    <definedName name="Fecha__2025_02_15_WinCalendar" localSheetId="0">'CA Gráfico 2025'!$Q$7</definedName>
    <definedName name="Fecha__2025_02_16_WinCalendar" localSheetId="0">'CA Gráfico 2025'!$R$7</definedName>
    <definedName name="Fecha__2025_02_17_WinCalendar" localSheetId="0">'CA Gráfico 2025'!$L$8</definedName>
    <definedName name="Fecha__2025_02_18_WinCalendar" localSheetId="0">'CA Gráfico 2025'!$M$8</definedName>
    <definedName name="Fecha__2025_02_19_WinCalendar" localSheetId="0">'CA Gráfico 2025'!$N$8</definedName>
    <definedName name="Fecha__2025_02_20_WinCalendar" localSheetId="0">'CA Gráfico 2025'!$O$8</definedName>
    <definedName name="Fecha__2025_02_21_WinCalendar" localSheetId="0">'CA Gráfico 2025'!$P$8</definedName>
    <definedName name="Fecha__2025_02_22_WinCalendar" localSheetId="0">'CA Gráfico 2025'!$Q$8</definedName>
    <definedName name="Fecha__2025_02_23_WinCalendar" localSheetId="0">'CA Gráfico 2025'!$R$8</definedName>
    <definedName name="Fecha__2025_02_24_WinCalendar" localSheetId="0">'CA Gráfico 2025'!$L$9</definedName>
    <definedName name="Fecha__2025_02_25_WinCalendar" localSheetId="0">'CA Gráfico 2025'!$M$9</definedName>
    <definedName name="Fecha__2025_02_26_WinCalendar" localSheetId="0">'CA Gráfico 2025'!$N$9</definedName>
    <definedName name="Fecha__2025_02_27_WinCalendar" localSheetId="0">'CA Gráfico 2025'!$O$9</definedName>
    <definedName name="Fecha__2025_02_28_WinCalendar" localSheetId="0">'CA Gráfico 2025'!$P$9</definedName>
    <definedName name="Fecha__2025_03_01_WinCalendar" localSheetId="0">'CA Gráfico 2025'!$Z$5</definedName>
    <definedName name="Fecha__2025_03_02_WinCalendar" localSheetId="0">'CA Gráfico 2025'!$AA$5</definedName>
    <definedName name="Fecha__2025_03_03_WinCalendar" localSheetId="0">'CA Gráfico 2025'!$U$6</definedName>
    <definedName name="Fecha__2025_03_04_WinCalendar" localSheetId="0">'CA Gráfico 2025'!$V$6</definedName>
    <definedName name="Fecha__2025_03_05_WinCalendar" localSheetId="0">'CA Gráfico 2025'!$W$6</definedName>
    <definedName name="Fecha__2025_03_06_WinCalendar" localSheetId="0">'CA Gráfico 2025'!$X$6</definedName>
    <definedName name="Fecha__2025_03_07_WinCalendar" localSheetId="0">'CA Gráfico 2025'!$Y$6</definedName>
    <definedName name="Fecha__2025_03_08_WinCalendar" localSheetId="0">'CA Gráfico 2025'!$Z$6</definedName>
    <definedName name="Fecha__2025_03_09_WinCalendar" localSheetId="0">'CA Gráfico 2025'!$AA$6</definedName>
    <definedName name="Fecha__2025_03_10_WinCalendar" localSheetId="0">'CA Gráfico 2025'!$U$7</definedName>
    <definedName name="Fecha__2025_03_11_WinCalendar" localSheetId="0">'CA Gráfico 2025'!$V$7</definedName>
    <definedName name="Fecha__2025_03_12_WinCalendar" localSheetId="0">'CA Gráfico 2025'!$W$7</definedName>
    <definedName name="Fecha__2025_03_13_WinCalendar" localSheetId="0">'CA Gráfico 2025'!$X$7</definedName>
    <definedName name="Fecha__2025_03_14_WinCalendar" localSheetId="0">'CA Gráfico 2025'!$Y$7</definedName>
    <definedName name="Fecha__2025_03_15_WinCalendar" localSheetId="0">'CA Gráfico 2025'!$Z$7</definedName>
    <definedName name="Fecha__2025_03_16_WinCalendar" localSheetId="0">'CA Gráfico 2025'!$AA$7</definedName>
    <definedName name="Fecha__2025_03_17_WinCalendar" localSheetId="0">'CA Gráfico 2025'!$U$8</definedName>
    <definedName name="Fecha__2025_03_18_WinCalendar" localSheetId="0">'CA Gráfico 2025'!$V$8</definedName>
    <definedName name="Fecha__2025_03_19_WinCalendar" localSheetId="0">'CA Gráfico 2025'!$W$8</definedName>
    <definedName name="Fecha__2025_03_20_WinCalendar" localSheetId="0">'CA Gráfico 2025'!$X$8</definedName>
    <definedName name="Fecha__2025_03_21_WinCalendar" localSheetId="0">'CA Gráfico 2025'!$Y$8</definedName>
    <definedName name="Fecha__2025_03_22_WinCalendar" localSheetId="0">'CA Gráfico 2025'!$Z$8</definedName>
    <definedName name="Fecha__2025_03_23_WinCalendar" localSheetId="0">'CA Gráfico 2025'!$AA$8</definedName>
    <definedName name="Fecha__2025_03_24_WinCalendar" localSheetId="0">'CA Gráfico 2025'!$U$9</definedName>
    <definedName name="Fecha__2025_03_25_WinCalendar" localSheetId="0">'CA Gráfico 2025'!$V$9</definedName>
    <definedName name="Fecha__2025_03_26_WinCalendar" localSheetId="0">'CA Gráfico 2025'!$W$9</definedName>
    <definedName name="Fecha__2025_03_27_WinCalendar" localSheetId="0">'CA Gráfico 2025'!$X$9</definedName>
    <definedName name="Fecha__2025_03_28_WinCalendar" localSheetId="0">'CA Gráfico 2025'!$Y$9</definedName>
    <definedName name="Fecha__2025_03_29_WinCalendar" localSheetId="0">'CA Gráfico 2025'!$Z$9</definedName>
    <definedName name="Fecha__2025_03_30_WinCalendar" localSheetId="0">'CA Gráfico 2025'!$AA$9</definedName>
    <definedName name="Fecha__2025_03_31_WinCalendar" localSheetId="0">'CA Gráfico 2025'!$U$10</definedName>
    <definedName name="Fecha__2025_04_01_WinCalendar" localSheetId="0">'CA Gráfico 2025'!$AE$5</definedName>
    <definedName name="Fecha__2025_04_02_WinCalendar" localSheetId="0">'CA Gráfico 2025'!$AF$5</definedName>
    <definedName name="Fecha__2025_04_03_WinCalendar" localSheetId="0">'CA Gráfico 2025'!$AG$5</definedName>
    <definedName name="Fecha__2025_04_04_WinCalendar" localSheetId="0">'CA Gráfico 2025'!$AH$5</definedName>
    <definedName name="Fecha__2025_04_05_WinCalendar" localSheetId="0">'CA Gráfico 2025'!$AI$5</definedName>
    <definedName name="Fecha__2025_04_06_WinCalendar" localSheetId="0">'CA Gráfico 2025'!$AJ$5</definedName>
    <definedName name="Fecha__2025_04_07_WinCalendar" localSheetId="0">'CA Gráfico 2025'!$AD$6</definedName>
    <definedName name="Fecha__2025_04_08_WinCalendar" localSheetId="0">'CA Gráfico 2025'!$AE$6</definedName>
    <definedName name="Fecha__2025_04_09_WinCalendar" localSheetId="0">'CA Gráfico 2025'!$AF$6</definedName>
    <definedName name="Fecha__2025_04_10_WinCalendar" localSheetId="0">'CA Gráfico 2025'!$AG$6</definedName>
    <definedName name="Fecha__2025_04_11_WinCalendar" localSheetId="0">'CA Gráfico 2025'!$AH$6</definedName>
    <definedName name="Fecha__2025_04_12_WinCalendar" localSheetId="0">'CA Gráfico 2025'!$AI$6</definedName>
    <definedName name="Fecha__2025_04_13_WinCalendar" localSheetId="0">'CA Gráfico 2025'!$AJ$6</definedName>
    <definedName name="Fecha__2025_04_14_WinCalendar" localSheetId="0">'CA Gráfico 2025'!$AD$7</definedName>
    <definedName name="Fecha__2025_04_15_WinCalendar" localSheetId="0">'CA Gráfico 2025'!$AE$7</definedName>
    <definedName name="Fecha__2025_04_16_WinCalendar" localSheetId="0">'CA Gráfico 2025'!$AF$7</definedName>
    <definedName name="Fecha__2025_04_17_WinCalendar" localSheetId="0">'CA Gráfico 2025'!$AG$7</definedName>
    <definedName name="Fecha__2025_04_18_WinCalendar" localSheetId="0">'CA Gráfico 2025'!$AH$7</definedName>
    <definedName name="Fecha__2025_04_19_WinCalendar" localSheetId="0">'CA Gráfico 2025'!$AI$7</definedName>
    <definedName name="Fecha__2025_04_20_WinCalendar" localSheetId="0">'CA Gráfico 2025'!$AJ$7</definedName>
    <definedName name="Fecha__2025_04_21_WinCalendar" localSheetId="0">'CA Gráfico 2025'!$AD$8</definedName>
    <definedName name="Fecha__2025_04_22_WinCalendar" localSheetId="0">'CA Gráfico 2025'!$AE$8</definedName>
    <definedName name="Fecha__2025_04_23_WinCalendar" localSheetId="0">'CA Gráfico 2025'!$AF$8</definedName>
    <definedName name="Fecha__2025_04_24_WinCalendar" localSheetId="0">'CA Gráfico 2025'!$AG$8</definedName>
    <definedName name="Fecha__2025_04_25_WinCalendar" localSheetId="0">'CA Gráfico 2025'!$AH$8</definedName>
    <definedName name="Fecha__2025_04_26_WinCalendar" localSheetId="0">'CA Gráfico 2025'!$AI$8</definedName>
    <definedName name="Fecha__2025_04_27_WinCalendar" localSheetId="0">'CA Gráfico 2025'!$AJ$8</definedName>
    <definedName name="Fecha__2025_04_28_WinCalendar" localSheetId="0">'CA Gráfico 2025'!$AD$9</definedName>
    <definedName name="Fecha__2025_04_29_WinCalendar" localSheetId="0">'CA Gráfico 2025'!$AE$9</definedName>
    <definedName name="Fecha__2025_04_30_WinCalendar" localSheetId="0">'CA Gráfico 2025'!$AF$9</definedName>
    <definedName name="Fecha__2025_05_01_WinCalendar" localSheetId="0">'CA Gráfico 2025'!$F$14</definedName>
    <definedName name="Fecha__2025_05_02_WinCalendar" localSheetId="0">'CA Gráfico 2025'!$G$14</definedName>
    <definedName name="Fecha__2025_05_03_WinCalendar" localSheetId="0">'CA Gráfico 2025'!$H$14</definedName>
    <definedName name="Fecha__2025_05_04_WinCalendar" localSheetId="0">'CA Gráfico 2025'!$I$14</definedName>
    <definedName name="Fecha__2025_05_05_WinCalendar" localSheetId="0">'CA Gráfico 2025'!$C$15</definedName>
    <definedName name="Fecha__2025_05_06_WinCalendar" localSheetId="0">'CA Gráfico 2025'!$D$15</definedName>
    <definedName name="Fecha__2025_05_07_WinCalendar" localSheetId="0">'CA Gráfico 2025'!$E$15</definedName>
    <definedName name="Fecha__2025_05_08_WinCalendar" localSheetId="0">'CA Gráfico 2025'!$F$15</definedName>
    <definedName name="Fecha__2025_05_09_WinCalendar" localSheetId="0">'CA Gráfico 2025'!$G$15</definedName>
    <definedName name="Fecha__2025_05_10_WinCalendar" localSheetId="0">'CA Gráfico 2025'!$H$15</definedName>
    <definedName name="Fecha__2025_05_11_WinCalendar" localSheetId="0">'CA Gráfico 2025'!$I$15</definedName>
    <definedName name="Fecha__2025_05_12_WinCalendar" localSheetId="0">'CA Gráfico 2025'!$C$16</definedName>
    <definedName name="Fecha__2025_05_13_WinCalendar" localSheetId="0">'CA Gráfico 2025'!$D$16</definedName>
    <definedName name="Fecha__2025_05_14_WinCalendar" localSheetId="0">'CA Gráfico 2025'!$E$16</definedName>
    <definedName name="Fecha__2025_05_15_WinCalendar" localSheetId="0">'CA Gráfico 2025'!$F$16</definedName>
    <definedName name="Fecha__2025_05_16_WinCalendar" localSheetId="0">'CA Gráfico 2025'!$G$16</definedName>
    <definedName name="Fecha__2025_05_17_WinCalendar" localSheetId="0">'CA Gráfico 2025'!$H$16</definedName>
    <definedName name="Fecha__2025_05_18_WinCalendar" localSheetId="0">'CA Gráfico 2025'!$I$16</definedName>
    <definedName name="Fecha__2025_05_19_WinCalendar" localSheetId="0">'CA Gráfico 2025'!$C$17</definedName>
    <definedName name="Fecha__2025_05_20_WinCalendar" localSheetId="0">'CA Gráfico 2025'!$D$17</definedName>
    <definedName name="Fecha__2025_05_21_WinCalendar" localSheetId="0">'CA Gráfico 2025'!$E$17</definedName>
    <definedName name="Fecha__2025_05_22_WinCalendar" localSheetId="0">'CA Gráfico 2025'!$F$17</definedName>
    <definedName name="Fecha__2025_05_23_WinCalendar" localSheetId="0">'CA Gráfico 2025'!$G$17</definedName>
    <definedName name="Fecha__2025_05_24_WinCalendar" localSheetId="0">'CA Gráfico 2025'!$H$17</definedName>
    <definedName name="Fecha__2025_05_25_WinCalendar" localSheetId="0">'CA Gráfico 2025'!$I$17</definedName>
    <definedName name="Fecha__2025_05_26_WinCalendar" localSheetId="0">'CA Gráfico 2025'!$C$18</definedName>
    <definedName name="Fecha__2025_05_27_WinCalendar" localSheetId="0">'CA Gráfico 2025'!$D$18</definedName>
    <definedName name="Fecha__2025_05_28_WinCalendar" localSheetId="0">'CA Gráfico 2025'!$E$18</definedName>
    <definedName name="Fecha__2025_05_29_WinCalendar" localSheetId="0">'CA Gráfico 2025'!$F$18</definedName>
    <definedName name="Fecha__2025_05_30_WinCalendar" localSheetId="0">'CA Gráfico 2025'!$G$18</definedName>
    <definedName name="Fecha__2025_05_31_WinCalendar" localSheetId="0">'CA Gráfico 2025'!$H$18</definedName>
    <definedName name="Fecha__2025_06_01_WinCalendar" localSheetId="0">'CA Gráfico 2025'!$R$14</definedName>
    <definedName name="Fecha__2025_06_02_WinCalendar" localSheetId="0">'CA Gráfico 2025'!$L$15</definedName>
    <definedName name="Fecha__2025_06_03_WinCalendar" localSheetId="0">'CA Gráfico 2025'!$M$15</definedName>
    <definedName name="Fecha__2025_06_04_WinCalendar" localSheetId="0">'CA Gráfico 2025'!$N$15</definedName>
    <definedName name="Fecha__2025_06_05_WinCalendar" localSheetId="0">'CA Gráfico 2025'!$O$15</definedName>
    <definedName name="Fecha__2025_06_06_WinCalendar" localSheetId="0">'CA Gráfico 2025'!$P$15</definedName>
    <definedName name="Fecha__2025_06_07_WinCalendar" localSheetId="0">'CA Gráfico 2025'!$Q$15</definedName>
    <definedName name="Fecha__2025_06_08_WinCalendar" localSheetId="0">'CA Gráfico 2025'!$R$15</definedName>
    <definedName name="Fecha__2025_06_09_WinCalendar" localSheetId="0">'CA Gráfico 2025'!$L$16</definedName>
    <definedName name="Fecha__2025_06_10_WinCalendar" localSheetId="0">'CA Gráfico 2025'!$M$16</definedName>
    <definedName name="Fecha__2025_06_11_WinCalendar" localSheetId="0">'CA Gráfico 2025'!$N$16</definedName>
    <definedName name="Fecha__2025_06_12_WinCalendar" localSheetId="0">'CA Gráfico 2025'!$O$16</definedName>
    <definedName name="Fecha__2025_06_13_WinCalendar" localSheetId="0">'CA Gráfico 2025'!$P$16</definedName>
    <definedName name="Fecha__2025_06_14_WinCalendar" localSheetId="0">'CA Gráfico 2025'!$Q$16</definedName>
    <definedName name="Fecha__2025_06_15_WinCalendar" localSheetId="0">'CA Gráfico 2025'!$R$16</definedName>
    <definedName name="Fecha__2025_06_16_WinCalendar" localSheetId="0">'CA Gráfico 2025'!$L$17</definedName>
    <definedName name="Fecha__2025_06_17_WinCalendar" localSheetId="0">'CA Gráfico 2025'!$M$17</definedName>
    <definedName name="Fecha__2025_06_18_WinCalendar" localSheetId="0">'CA Gráfico 2025'!$N$17</definedName>
    <definedName name="Fecha__2025_06_19_WinCalendar" localSheetId="0">'CA Gráfico 2025'!$O$17</definedName>
    <definedName name="Fecha__2025_06_20_WinCalendar" localSheetId="0">'CA Gráfico 2025'!$P$17</definedName>
    <definedName name="Fecha__2025_06_21_WinCalendar" localSheetId="0">'CA Gráfico 2025'!$Q$17</definedName>
    <definedName name="Fecha__2025_06_22_WinCalendar" localSheetId="0">'CA Gráfico 2025'!$R$17</definedName>
    <definedName name="Fecha__2025_06_23_WinCalendar" localSheetId="0">'CA Gráfico 2025'!$L$18</definedName>
    <definedName name="Fecha__2025_06_24_WinCalendar" localSheetId="0">'CA Gráfico 2025'!$M$18</definedName>
    <definedName name="Fecha__2025_06_25_WinCalendar" localSheetId="0">'CA Gráfico 2025'!$N$18</definedName>
    <definedName name="Fecha__2025_06_26_WinCalendar" localSheetId="0">'CA Gráfico 2025'!$O$18</definedName>
    <definedName name="Fecha__2025_06_27_WinCalendar" localSheetId="0">'CA Gráfico 2025'!$P$18</definedName>
    <definedName name="Fecha__2025_06_28_WinCalendar" localSheetId="0">'CA Gráfico 2025'!$Q$18</definedName>
    <definedName name="Fecha__2025_06_29_WinCalendar" localSheetId="0">'CA Gráfico 2025'!$R$18</definedName>
    <definedName name="Fecha__2025_06_30_WinCalendar" localSheetId="0">'CA Gráfico 2025'!$L$19</definedName>
    <definedName name="Fecha__2025_07_01_WinCalendar" localSheetId="0">'CA Gráfico 2025'!$V$14</definedName>
    <definedName name="Fecha__2025_07_02_WinCalendar" localSheetId="0">'CA Gráfico 2025'!$W$14</definedName>
    <definedName name="Fecha__2025_07_03_WinCalendar" localSheetId="0">'CA Gráfico 2025'!$X$14</definedName>
    <definedName name="Fecha__2025_07_04_WinCalendar" localSheetId="0">'CA Gráfico 2025'!$Y$14</definedName>
    <definedName name="Fecha__2025_07_05_WinCalendar" localSheetId="0">'CA Gráfico 2025'!$Z$14</definedName>
    <definedName name="Fecha__2025_07_06_WinCalendar" localSheetId="0">'CA Gráfico 2025'!$AA$14</definedName>
    <definedName name="Fecha__2025_07_07_WinCalendar" localSheetId="0">'CA Gráfico 2025'!$U$15</definedName>
    <definedName name="Fecha__2025_07_08_WinCalendar" localSheetId="0">'CA Gráfico 2025'!$V$15</definedName>
    <definedName name="Fecha__2025_07_09_WinCalendar" localSheetId="0">'CA Gráfico 2025'!$W$15</definedName>
    <definedName name="Fecha__2025_07_10_WinCalendar" localSheetId="0">'CA Gráfico 2025'!$X$15</definedName>
    <definedName name="Fecha__2025_07_11_WinCalendar" localSheetId="0">'CA Gráfico 2025'!$Y$15</definedName>
    <definedName name="Fecha__2025_07_12_WinCalendar" localSheetId="0">'CA Gráfico 2025'!$Z$15</definedName>
    <definedName name="Fecha__2025_07_13_WinCalendar" localSheetId="0">'CA Gráfico 2025'!$AA$15</definedName>
    <definedName name="Fecha__2025_07_14_WinCalendar" localSheetId="0">'CA Gráfico 2025'!$U$16</definedName>
    <definedName name="Fecha__2025_07_15_WinCalendar" localSheetId="0">'CA Gráfico 2025'!$V$16</definedName>
    <definedName name="Fecha__2025_07_16_WinCalendar" localSheetId="0">'CA Gráfico 2025'!$W$16</definedName>
    <definedName name="Fecha__2025_07_17_WinCalendar" localSheetId="0">'CA Gráfico 2025'!$X$16</definedName>
    <definedName name="Fecha__2025_07_18_WinCalendar" localSheetId="0">'CA Gráfico 2025'!$Y$16</definedName>
    <definedName name="Fecha__2025_07_19_WinCalendar" localSheetId="0">'CA Gráfico 2025'!$Z$16</definedName>
    <definedName name="Fecha__2025_07_20_WinCalendar" localSheetId="0">'CA Gráfico 2025'!$AA$16</definedName>
    <definedName name="Fecha__2025_07_21_WinCalendar" localSheetId="0">'CA Gráfico 2025'!$U$17</definedName>
    <definedName name="Fecha__2025_07_22_WinCalendar" localSheetId="0">'CA Gráfico 2025'!$V$17</definedName>
    <definedName name="Fecha__2025_07_23_WinCalendar" localSheetId="0">'CA Gráfico 2025'!$W$17</definedName>
    <definedName name="Fecha__2025_07_24_WinCalendar" localSheetId="0">'CA Gráfico 2025'!$X$17</definedName>
    <definedName name="Fecha__2025_07_25_WinCalendar" localSheetId="0">'CA Gráfico 2025'!$Y$17</definedName>
    <definedName name="Fecha__2025_07_26_WinCalendar" localSheetId="0">'CA Gráfico 2025'!$Z$17</definedName>
    <definedName name="Fecha__2025_07_27_WinCalendar" localSheetId="0">'CA Gráfico 2025'!$AA$17</definedName>
    <definedName name="Fecha__2025_07_28_WinCalendar" localSheetId="0">'CA Gráfico 2025'!$U$18</definedName>
    <definedName name="Fecha__2025_07_29_WinCalendar" localSheetId="0">'CA Gráfico 2025'!$V$18</definedName>
    <definedName name="Fecha__2025_07_30_WinCalendar" localSheetId="0">'CA Gráfico 2025'!$W$18</definedName>
    <definedName name="Fecha__2025_07_31_WinCalendar" localSheetId="0">'CA Gráfico 2025'!$X$18</definedName>
    <definedName name="Fecha__2025_08_01_WinCalendar" localSheetId="0">'CA Gráfico 2025'!$AH$14</definedName>
    <definedName name="Fecha__2025_08_02_WinCalendar" localSheetId="0">'CA Gráfico 2025'!$AI$14</definedName>
    <definedName name="Fecha__2025_08_03_WinCalendar" localSheetId="0">'CA Gráfico 2025'!$AJ$14</definedName>
    <definedName name="Fecha__2025_08_04_WinCalendar" localSheetId="0">'CA Gráfico 2025'!$AD$15</definedName>
    <definedName name="Fecha__2025_08_05_WinCalendar" localSheetId="0">'CA Gráfico 2025'!$AE$15</definedName>
    <definedName name="Fecha__2025_08_06_WinCalendar" localSheetId="0">'CA Gráfico 2025'!$AF$15</definedName>
    <definedName name="Fecha__2025_08_07_WinCalendar" localSheetId="0">'CA Gráfico 2025'!$AG$15</definedName>
    <definedName name="Fecha__2025_08_08_WinCalendar" localSheetId="0">'CA Gráfico 2025'!$AH$15</definedName>
    <definedName name="Fecha__2025_08_09_WinCalendar" localSheetId="0">'CA Gráfico 2025'!$AI$15</definedName>
    <definedName name="Fecha__2025_08_10_WinCalendar" localSheetId="0">'CA Gráfico 2025'!$AJ$15</definedName>
    <definedName name="Fecha__2025_08_11_WinCalendar" localSheetId="0">'CA Gráfico 2025'!$AD$16</definedName>
    <definedName name="Fecha__2025_08_12_WinCalendar" localSheetId="0">'CA Gráfico 2025'!$AE$16</definedName>
    <definedName name="Fecha__2025_08_13_WinCalendar" localSheetId="0">'CA Gráfico 2025'!$AF$16</definedName>
    <definedName name="Fecha__2025_08_14_WinCalendar" localSheetId="0">'CA Gráfico 2025'!$AG$16</definedName>
    <definedName name="Fecha__2025_08_15_WinCalendar" localSheetId="0">'CA Gráfico 2025'!$AH$16</definedName>
    <definedName name="Fecha__2025_08_16_WinCalendar" localSheetId="0">'CA Gráfico 2025'!$AI$16</definedName>
    <definedName name="Fecha__2025_08_17_WinCalendar" localSheetId="0">'CA Gráfico 2025'!$AJ$16</definedName>
    <definedName name="Fecha__2025_08_18_WinCalendar" localSheetId="0">'CA Gráfico 2025'!$AD$17</definedName>
    <definedName name="Fecha__2025_08_19_WinCalendar" localSheetId="0">'CA Gráfico 2025'!$AE$17</definedName>
    <definedName name="Fecha__2025_08_20_WinCalendar" localSheetId="0">'CA Gráfico 2025'!$AF$17</definedName>
    <definedName name="Fecha__2025_08_21_WinCalendar" localSheetId="0">'CA Gráfico 2025'!$AG$17</definedName>
    <definedName name="Fecha__2025_08_22_WinCalendar" localSheetId="0">'CA Gráfico 2025'!$AH$17</definedName>
    <definedName name="Fecha__2025_08_23_WinCalendar" localSheetId="0">'CA Gráfico 2025'!$AI$17</definedName>
    <definedName name="Fecha__2025_08_24_WinCalendar" localSheetId="0">'CA Gráfico 2025'!$AJ$17</definedName>
    <definedName name="Fecha__2025_08_25_WinCalendar" localSheetId="0">'CA Gráfico 2025'!$AD$18</definedName>
    <definedName name="Fecha__2025_08_26_WinCalendar" localSheetId="0">'CA Gráfico 2025'!$AE$18</definedName>
    <definedName name="Fecha__2025_08_27_WinCalendar" localSheetId="0">'CA Gráfico 2025'!$AF$18</definedName>
    <definedName name="Fecha__2025_08_28_WinCalendar" localSheetId="0">'CA Gráfico 2025'!$AG$18</definedName>
    <definedName name="Fecha__2025_08_29_WinCalendar" localSheetId="0">'CA Gráfico 2025'!$AH$18</definedName>
    <definedName name="Fecha__2025_08_30_WinCalendar" localSheetId="0">'CA Gráfico 2025'!$AI$18</definedName>
    <definedName name="Fecha__2025_08_31_WinCalendar" localSheetId="0">'CA Gráfico 2025'!$AJ$18</definedName>
    <definedName name="Fecha__2025_09_01_WinCalendar" localSheetId="0">'CA Gráfico 2025'!$C$23</definedName>
    <definedName name="Fecha__2025_09_02_WinCalendar" localSheetId="0">'CA Gráfico 2025'!$D$23</definedName>
    <definedName name="Fecha__2025_09_03_WinCalendar" localSheetId="0">'CA Gráfico 2025'!$E$23</definedName>
    <definedName name="Fecha__2025_09_04_WinCalendar" localSheetId="0">'CA Gráfico 2025'!$F$23</definedName>
    <definedName name="Fecha__2025_09_05_WinCalendar" localSheetId="0">'CA Gráfico 2025'!$G$23</definedName>
    <definedName name="Fecha__2025_09_06_WinCalendar" localSheetId="0">'CA Gráfico 2025'!$H$23</definedName>
    <definedName name="Fecha__2025_09_07_WinCalendar" localSheetId="0">'CA Gráfico 2025'!$I$23</definedName>
    <definedName name="Fecha__2025_09_08_WinCalendar" localSheetId="0">'CA Gráfico 2025'!$C$24</definedName>
    <definedName name="Fecha__2025_09_09_WinCalendar" localSheetId="0">'CA Gráfico 2025'!$D$24</definedName>
    <definedName name="Fecha__2025_09_10_WinCalendar" localSheetId="0">'CA Gráfico 2025'!$E$24</definedName>
    <definedName name="Fecha__2025_09_11_WinCalendar" localSheetId="0">'CA Gráfico 2025'!$F$24</definedName>
    <definedName name="Fecha__2025_09_12_WinCalendar" localSheetId="0">'CA Gráfico 2025'!$G$24</definedName>
    <definedName name="Fecha__2025_09_13_WinCalendar" localSheetId="0">'CA Gráfico 2025'!$H$24</definedName>
    <definedName name="Fecha__2025_09_14_WinCalendar" localSheetId="0">'CA Gráfico 2025'!$I$24</definedName>
    <definedName name="Fecha__2025_09_15_WinCalendar" localSheetId="0">'CA Gráfico 2025'!$C$25</definedName>
    <definedName name="Fecha__2025_09_16_WinCalendar" localSheetId="0">'CA Gráfico 2025'!$D$25</definedName>
    <definedName name="Fecha__2025_09_17_WinCalendar" localSheetId="0">'CA Gráfico 2025'!$E$25</definedName>
    <definedName name="Fecha__2025_09_18_WinCalendar" localSheetId="0">'CA Gráfico 2025'!$F$25</definedName>
    <definedName name="Fecha__2025_09_19_WinCalendar" localSheetId="0">'CA Gráfico 2025'!$G$25</definedName>
    <definedName name="Fecha__2025_09_20_WinCalendar" localSheetId="0">'CA Gráfico 2025'!$H$25</definedName>
    <definedName name="Fecha__2025_09_21_WinCalendar" localSheetId="0">'CA Gráfico 2025'!$I$25</definedName>
    <definedName name="Fecha__2025_09_22_WinCalendar" localSheetId="0">'CA Gráfico 2025'!$C$26</definedName>
    <definedName name="Fecha__2025_09_23_WinCalendar" localSheetId="0">'CA Gráfico 2025'!$D$26</definedName>
    <definedName name="Fecha__2025_09_24_WinCalendar" localSheetId="0">'CA Gráfico 2025'!$E$26</definedName>
    <definedName name="Fecha__2025_09_25_WinCalendar" localSheetId="0">'CA Gráfico 2025'!$F$26</definedName>
    <definedName name="Fecha__2025_09_26_WinCalendar" localSheetId="0">'CA Gráfico 2025'!$G$26</definedName>
    <definedName name="Fecha__2025_09_27_WinCalendar" localSheetId="0">'CA Gráfico 2025'!$H$26</definedName>
    <definedName name="Fecha__2025_09_28_WinCalendar" localSheetId="0">'CA Gráfico 2025'!$I$26</definedName>
    <definedName name="Fecha__2025_09_29_WinCalendar" localSheetId="0">'CA Gráfico 2025'!$C$27</definedName>
    <definedName name="Fecha__2025_09_30_WinCalendar" localSheetId="0">'CA Gráfico 2025'!$D$27</definedName>
    <definedName name="Fecha__2025_10_01_WinCalendar" localSheetId="0">'CA Gráfico 2025'!$N$23</definedName>
    <definedName name="Fecha__2025_10_02_WinCalendar" localSheetId="0">'CA Gráfico 2025'!$O$23</definedName>
    <definedName name="Fecha__2025_10_03_WinCalendar" localSheetId="0">'CA Gráfico 2025'!$P$23</definedName>
    <definedName name="Fecha__2025_10_04_WinCalendar" localSheetId="0">'CA Gráfico 2025'!$Q$23</definedName>
    <definedName name="Fecha__2025_10_05_WinCalendar" localSheetId="0">'CA Gráfico 2025'!$R$23</definedName>
    <definedName name="Fecha__2025_10_06_WinCalendar" localSheetId="0">'CA Gráfico 2025'!$L$24</definedName>
    <definedName name="Fecha__2025_10_07_WinCalendar" localSheetId="0">'CA Gráfico 2025'!$M$24</definedName>
    <definedName name="Fecha__2025_10_08_WinCalendar" localSheetId="0">'CA Gráfico 2025'!$N$24</definedName>
    <definedName name="Fecha__2025_10_09_WinCalendar" localSheetId="0">'CA Gráfico 2025'!$O$24</definedName>
    <definedName name="Fecha__2025_10_10_WinCalendar" localSheetId="0">'CA Gráfico 2025'!$P$24</definedName>
    <definedName name="Fecha__2025_10_11_WinCalendar" localSheetId="0">'CA Gráfico 2025'!$Q$24</definedName>
    <definedName name="Fecha__2025_10_12_WinCalendar" localSheetId="0">'CA Gráfico 2025'!$R$24</definedName>
    <definedName name="Fecha__2025_10_13_WinCalendar" localSheetId="0">'CA Gráfico 2025'!$L$25</definedName>
    <definedName name="Fecha__2025_10_14_WinCalendar" localSheetId="0">'CA Gráfico 2025'!$M$25</definedName>
    <definedName name="Fecha__2025_10_15_WinCalendar" localSheetId="0">'CA Gráfico 2025'!$N$25</definedName>
    <definedName name="Fecha__2025_10_16_WinCalendar" localSheetId="0">'CA Gráfico 2025'!$O$25</definedName>
    <definedName name="Fecha__2025_10_17_WinCalendar" localSheetId="0">'CA Gráfico 2025'!$P$25</definedName>
    <definedName name="Fecha__2025_10_18_WinCalendar" localSheetId="0">'CA Gráfico 2025'!$Q$25</definedName>
    <definedName name="Fecha__2025_10_19_WinCalendar" localSheetId="0">'CA Gráfico 2025'!$R$25</definedName>
    <definedName name="Fecha__2025_10_20_WinCalendar" localSheetId="0">'CA Gráfico 2025'!$L$26</definedName>
    <definedName name="Fecha__2025_10_21_WinCalendar" localSheetId="0">'CA Gráfico 2025'!$M$26</definedName>
    <definedName name="Fecha__2025_10_22_WinCalendar" localSheetId="0">'CA Gráfico 2025'!$N$26</definedName>
    <definedName name="Fecha__2025_10_23_WinCalendar" localSheetId="0">'CA Gráfico 2025'!$O$26</definedName>
    <definedName name="Fecha__2025_10_24_WinCalendar" localSheetId="0">'CA Gráfico 2025'!$P$26</definedName>
    <definedName name="Fecha__2025_10_25_WinCalendar" localSheetId="0">'CA Gráfico 2025'!$Q$26</definedName>
    <definedName name="Fecha__2025_10_26_WinCalendar" localSheetId="0">'CA Gráfico 2025'!$R$26</definedName>
    <definedName name="Fecha__2025_10_27_WinCalendar" localSheetId="0">'CA Gráfico 2025'!$L$27</definedName>
    <definedName name="Fecha__2025_10_28_WinCalendar" localSheetId="0">'CA Gráfico 2025'!$M$27</definedName>
    <definedName name="Fecha__2025_10_29_WinCalendar" localSheetId="0">'CA Gráfico 2025'!$N$27</definedName>
    <definedName name="Fecha__2025_10_30_WinCalendar" localSheetId="0">'CA Gráfico 2025'!$O$27</definedName>
    <definedName name="Fecha__2025_10_31_WinCalendar" localSheetId="0">'CA Gráfico 2025'!$P$27</definedName>
    <definedName name="Fecha__2025_11_01_WinCalendar" localSheetId="0">'CA Gráfico 2025'!$Z$23</definedName>
    <definedName name="Fecha__2025_11_02_WinCalendar" localSheetId="0">'CA Gráfico 2025'!$AA$23</definedName>
    <definedName name="Fecha__2025_11_03_WinCalendar" localSheetId="0">'CA Gráfico 2025'!$U$24</definedName>
    <definedName name="Fecha__2025_11_04_WinCalendar" localSheetId="0">'CA Gráfico 2025'!$V$24</definedName>
    <definedName name="Fecha__2025_11_05_WinCalendar" localSheetId="0">'CA Gráfico 2025'!$W$24</definedName>
    <definedName name="Fecha__2025_11_06_WinCalendar" localSheetId="0">'CA Gráfico 2025'!$X$24</definedName>
    <definedName name="Fecha__2025_11_07_WinCalendar" localSheetId="0">'CA Gráfico 2025'!$Y$24</definedName>
    <definedName name="Fecha__2025_11_08_WinCalendar" localSheetId="0">'CA Gráfico 2025'!$Z$24</definedName>
    <definedName name="Fecha__2025_11_09_WinCalendar" localSheetId="0">'CA Gráfico 2025'!$AA$24</definedName>
    <definedName name="Fecha__2025_11_10_WinCalendar" localSheetId="0">'CA Gráfico 2025'!$U$25</definedName>
    <definedName name="Fecha__2025_11_11_WinCalendar" localSheetId="0">'CA Gráfico 2025'!$V$25</definedName>
    <definedName name="Fecha__2025_11_12_WinCalendar" localSheetId="0">'CA Gráfico 2025'!$W$25</definedName>
    <definedName name="Fecha__2025_11_13_WinCalendar" localSheetId="0">'CA Gráfico 2025'!$X$25</definedName>
    <definedName name="Fecha__2025_11_14_WinCalendar" localSheetId="0">'CA Gráfico 2025'!$Y$25</definedName>
    <definedName name="Fecha__2025_11_15_WinCalendar" localSheetId="0">'CA Gráfico 2025'!$Z$25</definedName>
    <definedName name="Fecha__2025_11_16_WinCalendar" localSheetId="0">'CA Gráfico 2025'!$AA$25</definedName>
    <definedName name="Fecha__2025_11_17_WinCalendar" localSheetId="0">'CA Gráfico 2025'!$U$26</definedName>
    <definedName name="Fecha__2025_11_18_WinCalendar" localSheetId="0">'CA Gráfico 2025'!$V$26</definedName>
    <definedName name="Fecha__2025_11_19_WinCalendar" localSheetId="0">'CA Gráfico 2025'!$W$26</definedName>
    <definedName name="Fecha__2025_11_20_WinCalendar" localSheetId="0">'CA Gráfico 2025'!$X$26</definedName>
    <definedName name="Fecha__2025_11_21_WinCalendar" localSheetId="0">'CA Gráfico 2025'!$Y$26</definedName>
    <definedName name="Fecha__2025_11_22_WinCalendar" localSheetId="0">'CA Gráfico 2025'!$Z$26</definedName>
    <definedName name="Fecha__2025_11_23_WinCalendar" localSheetId="0">'CA Gráfico 2025'!$AA$26</definedName>
    <definedName name="Fecha__2025_11_24_WinCalendar" localSheetId="0">'CA Gráfico 2025'!$U$27</definedName>
    <definedName name="Fecha__2025_11_25_WinCalendar" localSheetId="0">'CA Gráfico 2025'!$V$27</definedName>
    <definedName name="Fecha__2025_11_26_WinCalendar" localSheetId="0">'CA Gráfico 2025'!$W$27</definedName>
    <definedName name="Fecha__2025_11_27_WinCalendar" localSheetId="0">'CA Gráfico 2025'!$X$27</definedName>
    <definedName name="Fecha__2025_11_28_WinCalendar" localSheetId="0">'CA Gráfico 2025'!$Y$27</definedName>
    <definedName name="Fecha__2025_11_29_WinCalendar" localSheetId="0">'CA Gráfico 2025'!$Z$27</definedName>
    <definedName name="Fecha__2025_11_30_WinCalendar" localSheetId="0">'CA Gráfico 2025'!$AA$27</definedName>
    <definedName name="Fecha__2025_12_01_WinCalendar" localSheetId="0">'CA Gráfico 2025'!$AD$23</definedName>
    <definedName name="Fecha__2025_12_02_WinCalendar" localSheetId="0">'CA Gráfico 2025'!$AE$23</definedName>
    <definedName name="Fecha__2025_12_03_WinCalendar" localSheetId="0">'CA Gráfico 2025'!$AF$23</definedName>
    <definedName name="Fecha__2025_12_04_WinCalendar" localSheetId="0">'CA Gráfico 2025'!$AG$23</definedName>
    <definedName name="Fecha__2025_12_05_WinCalendar" localSheetId="0">'CA Gráfico 2025'!$AH$23</definedName>
    <definedName name="Fecha__2025_12_06_WinCalendar" localSheetId="0">'CA Gráfico 2025'!$AI$23</definedName>
    <definedName name="Fecha__2025_12_07_WinCalendar" localSheetId="0">'CA Gráfico 2025'!$AJ$23</definedName>
    <definedName name="Fecha__2025_12_08_WinCalendar" localSheetId="0">'CA Gráfico 2025'!$AD$24</definedName>
    <definedName name="Fecha__2025_12_09_WinCalendar" localSheetId="0">'CA Gráfico 2025'!$AE$24</definedName>
    <definedName name="Fecha__2025_12_10_WinCalendar" localSheetId="0">'CA Gráfico 2025'!$AF$24</definedName>
    <definedName name="Fecha__2025_12_11_WinCalendar" localSheetId="0">'CA Gráfico 2025'!$AG$24</definedName>
    <definedName name="Fecha__2025_12_12_WinCalendar" localSheetId="0">'CA Gráfico 2025'!$AH$24</definedName>
    <definedName name="Fecha__2025_12_13_WinCalendar" localSheetId="0">'CA Gráfico 2025'!$AI$24</definedName>
    <definedName name="Fecha__2025_12_14_WinCalendar" localSheetId="0">'CA Gráfico 2025'!$AJ$24</definedName>
    <definedName name="Fecha__2025_12_15_WinCalendar" localSheetId="0">'CA Gráfico 2025'!$AD$25</definedName>
    <definedName name="Fecha__2025_12_16_WinCalendar" localSheetId="0">'CA Gráfico 2025'!$AE$25</definedName>
    <definedName name="Fecha__2025_12_17_WinCalendar" localSheetId="0">'CA Gráfico 2025'!$AF$25</definedName>
    <definedName name="Fecha__2025_12_18_WinCalendar" localSheetId="0">'CA Gráfico 2025'!$AG$25</definedName>
    <definedName name="Fecha__2025_12_19_WinCalendar" localSheetId="0">'CA Gráfico 2025'!$AH$25</definedName>
    <definedName name="Fecha__2025_12_20_WinCalendar" localSheetId="0">'CA Gráfico 2025'!$AI$25</definedName>
    <definedName name="Fecha__2025_12_21_WinCalendar" localSheetId="0">'CA Gráfico 2025'!$AJ$25</definedName>
    <definedName name="Fecha__2025_12_22_WinCalendar" localSheetId="0">'CA Gráfico 2025'!$AD$26</definedName>
    <definedName name="Fecha__2025_12_23_WinCalendar" localSheetId="0">'CA Gráfico 2025'!$AE$26</definedName>
    <definedName name="Fecha__2025_12_24_WinCalendar" localSheetId="0">'CA Gráfico 2025'!$AF$26</definedName>
    <definedName name="Fecha__2025_12_25_WinCalendar" localSheetId="0">'CA Gráfico 2025'!$AG$26</definedName>
    <definedName name="Fecha__2025_12_26_WinCalendar" localSheetId="0">'CA Gráfico 2025'!$AH$26</definedName>
    <definedName name="Fecha__2025_12_27_WinCalendar" localSheetId="0">'CA Gráfico 2025'!$AI$26</definedName>
    <definedName name="Fecha__2025_12_28_WinCalendar" localSheetId="0">'CA Gráfico 2025'!$AJ$26</definedName>
    <definedName name="Fecha__2025_12_29_WinCalendar" localSheetId="0">'CA Gráfico 2025'!$AD$27</definedName>
    <definedName name="Fecha__2025_12_30_WinCalendar" localSheetId="0">'CA Gráfico 2025'!$AE$27</definedName>
    <definedName name="Fecha__2025_12_31_WinCalendar" localSheetId="0">'CA Gráfico 2025'!$AF$27</definedName>
    <definedName name="WinCalendar_Calendar_1" localSheetId="0">'CA Gráfico 2025'!$C$3:$I$10</definedName>
    <definedName name="WinCalendar_Calendar_10" localSheetId="0">'CA Gráfico 2025'!$C$32:$I$39</definedName>
    <definedName name="WinCalendar_Calendar_11" localSheetId="0">'CA Gráfico 2025'!$L$32:$R$39</definedName>
    <definedName name="WinCalendar_Calendar_12" localSheetId="0">'CA Gráfico 2025'!$U$32:$AA$39</definedName>
    <definedName name="WinCalendar_Calendar_2" localSheetId="0">'CA Gráfico 2025'!$L$3:$R$10</definedName>
    <definedName name="WinCalendar_Calendar_3" localSheetId="0">'CA Gráfico 2025'!$U$3:$AA$11</definedName>
    <definedName name="WinCalendar_Calendar_4" localSheetId="0">'CA Gráfico 2025'!$C$19:$I$20</definedName>
    <definedName name="WinCalendar_Calendar_5" localSheetId="0">'CA Gráfico 2025'!$L$20:$R$20</definedName>
    <definedName name="WinCalendar_Calendar_6" localSheetId="0">'CA Gráfico 2025'!$U$19:$AA$20</definedName>
    <definedName name="WinCalendar_Calendar_7" localSheetId="0">'CA Gráfico 2025'!$C$28:$I$30</definedName>
    <definedName name="WinCalendar_Calendar_8" localSheetId="0">'CA Gráfico 2025'!$L$28:$R$30</definedName>
    <definedName name="WinCalendar_Calendar_9" localSheetId="0">'CA Gráfico 2025'!$U$28:$AA$30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3" l="1"/>
  <c r="E74" i="3"/>
  <c r="F38" i="3"/>
  <c r="E38" i="3"/>
  <c r="E76" i="3"/>
  <c r="E75" i="3"/>
  <c r="F40" i="3"/>
  <c r="E40" i="3"/>
  <c r="F39" i="3"/>
  <c r="E39" i="3"/>
  <c r="F63" i="3"/>
  <c r="E63" i="3"/>
  <c r="F57" i="3"/>
  <c r="E57" i="3"/>
  <c r="F16" i="3"/>
  <c r="E16" i="3"/>
  <c r="F22" i="3"/>
  <c r="E22" i="3"/>
  <c r="E69" i="3"/>
  <c r="F69" i="3"/>
  <c r="F29" i="3"/>
  <c r="E29" i="3"/>
  <c r="E85" i="3"/>
  <c r="E48" i="3"/>
  <c r="E51" i="3"/>
  <c r="E84" i="3"/>
  <c r="E46" i="3"/>
  <c r="AI30" i="5" l="1"/>
  <c r="AH30" i="5"/>
  <c r="AG30" i="5"/>
  <c r="AF30" i="5"/>
  <c r="AE30" i="5"/>
  <c r="AD30" i="5"/>
  <c r="AC30" i="5"/>
  <c r="AA30" i="5"/>
  <c r="Z30" i="5"/>
  <c r="Y30" i="5"/>
  <c r="X30" i="5"/>
  <c r="W30" i="5"/>
  <c r="V30" i="5"/>
  <c r="U30" i="5"/>
  <c r="S30" i="5"/>
  <c r="R30" i="5"/>
  <c r="Q30" i="5"/>
  <c r="P30" i="5"/>
  <c r="O30" i="5"/>
  <c r="N30" i="5"/>
  <c r="M30" i="5"/>
  <c r="K30" i="5"/>
  <c r="J30" i="5"/>
  <c r="I30" i="5"/>
  <c r="H30" i="5"/>
  <c r="G30" i="5"/>
  <c r="F30" i="5"/>
  <c r="E30" i="5"/>
  <c r="AI21" i="5"/>
  <c r="AH21" i="5"/>
  <c r="AG21" i="5"/>
  <c r="AF21" i="5"/>
  <c r="AE21" i="5"/>
  <c r="AD21" i="5"/>
  <c r="AC21" i="5"/>
  <c r="AA21" i="5"/>
  <c r="Z21" i="5"/>
  <c r="Y21" i="5"/>
  <c r="X21" i="5"/>
  <c r="W21" i="5"/>
  <c r="V21" i="5"/>
  <c r="U21" i="5"/>
  <c r="S21" i="5"/>
  <c r="R21" i="5"/>
  <c r="Q21" i="5"/>
  <c r="P21" i="5"/>
  <c r="O21" i="5"/>
  <c r="N21" i="5"/>
  <c r="M21" i="5"/>
  <c r="K21" i="5"/>
  <c r="J21" i="5"/>
  <c r="I21" i="5"/>
  <c r="H21" i="5"/>
  <c r="G21" i="5"/>
  <c r="F21" i="5"/>
  <c r="E21" i="5"/>
  <c r="AI10" i="5"/>
  <c r="AH10" i="5"/>
  <c r="AG10" i="5"/>
  <c r="AF10" i="5"/>
  <c r="AE10" i="5"/>
  <c r="AD10" i="5"/>
  <c r="AC10" i="5"/>
  <c r="AA10" i="5"/>
  <c r="Z10" i="5"/>
  <c r="Y10" i="5"/>
  <c r="X10" i="5"/>
  <c r="W10" i="5"/>
  <c r="V10" i="5"/>
  <c r="U10" i="5"/>
  <c r="S10" i="5"/>
  <c r="R10" i="5"/>
  <c r="Q10" i="5"/>
  <c r="P10" i="5"/>
  <c r="O10" i="5"/>
  <c r="N10" i="5"/>
  <c r="M10" i="5"/>
  <c r="K10" i="5"/>
  <c r="J10" i="5"/>
  <c r="I10" i="5"/>
  <c r="H10" i="5"/>
  <c r="G10" i="5"/>
  <c r="F10" i="5"/>
  <c r="E10" i="5"/>
  <c r="E9" i="5"/>
  <c r="M9" i="5" s="1"/>
  <c r="E11" i="5" l="1"/>
  <c r="F11" i="5" s="1"/>
  <c r="G11" i="5" s="1"/>
  <c r="H11" i="5" s="1"/>
  <c r="I11" i="5" s="1"/>
  <c r="J11" i="5" s="1"/>
  <c r="U9" i="5"/>
  <c r="M11" i="5"/>
  <c r="N11" i="5" s="1"/>
  <c r="O11" i="5" s="1"/>
  <c r="P11" i="5" s="1"/>
  <c r="Q11" i="5" s="1"/>
  <c r="R11" i="5" s="1"/>
  <c r="S11" i="5" s="1"/>
  <c r="M12" i="5" s="1"/>
  <c r="N12" i="5" s="1"/>
  <c r="O12" i="5" s="1"/>
  <c r="P12" i="5" s="1"/>
  <c r="Q12" i="5" s="1"/>
  <c r="R12" i="5" s="1"/>
  <c r="S12" i="5" s="1"/>
  <c r="M13" i="5" s="1"/>
  <c r="N13" i="5" s="1"/>
  <c r="O13" i="5" s="1"/>
  <c r="P13" i="5" s="1"/>
  <c r="Q13" i="5" s="1"/>
  <c r="R13" i="5" s="1"/>
  <c r="S13" i="5" s="1"/>
  <c r="M14" i="5" s="1"/>
  <c r="N14" i="5" s="1"/>
  <c r="O14" i="5" s="1"/>
  <c r="P14" i="5" s="1"/>
  <c r="Q14" i="5" s="1"/>
  <c r="R14" i="5" s="1"/>
  <c r="S14" i="5" s="1"/>
  <c r="M15" i="5" s="1"/>
  <c r="N15" i="5" s="1"/>
  <c r="O15" i="5" s="1"/>
  <c r="P15" i="5" s="1"/>
  <c r="Q15" i="5" s="1"/>
  <c r="R15" i="5" s="1"/>
  <c r="S15" i="5" s="1"/>
  <c r="M16" i="5" s="1"/>
  <c r="N16" i="5" s="1"/>
  <c r="O16" i="5" s="1"/>
  <c r="P16" i="5" s="1"/>
  <c r="Q16" i="5" s="1"/>
  <c r="R16" i="5" s="1"/>
  <c r="S16" i="5" s="1"/>
  <c r="K11" i="5" l="1"/>
  <c r="E12" i="5" s="1"/>
  <c r="F12" i="5" s="1"/>
  <c r="G12" i="5" s="1"/>
  <c r="H12" i="5" s="1"/>
  <c r="I12" i="5" s="1"/>
  <c r="J12" i="5" s="1"/>
  <c r="K12" i="5" s="1"/>
  <c r="E13" i="5" s="1"/>
  <c r="F13" i="5" s="1"/>
  <c r="G13" i="5" s="1"/>
  <c r="H13" i="5" s="1"/>
  <c r="I13" i="5" s="1"/>
  <c r="J13" i="5" s="1"/>
  <c r="K13" i="5" s="1"/>
  <c r="E14" i="5" s="1"/>
  <c r="F14" i="5" s="1"/>
  <c r="G14" i="5" s="1"/>
  <c r="H14" i="5" s="1"/>
  <c r="I14" i="5" s="1"/>
  <c r="J14" i="5" s="1"/>
  <c r="K14" i="5" s="1"/>
  <c r="E15" i="5" s="1"/>
  <c r="F15" i="5" s="1"/>
  <c r="G15" i="5" s="1"/>
  <c r="H15" i="5" s="1"/>
  <c r="I15" i="5" s="1"/>
  <c r="J15" i="5" s="1"/>
  <c r="K15" i="5" s="1"/>
  <c r="E16" i="5" s="1"/>
  <c r="F16" i="5" s="1"/>
  <c r="G16" i="5" s="1"/>
  <c r="H16" i="5" s="1"/>
  <c r="I16" i="5" s="1"/>
  <c r="J16" i="5" s="1"/>
  <c r="K16" i="5" s="1"/>
  <c r="U11" i="5"/>
  <c r="V11" i="5" s="1"/>
  <c r="W11" i="5" s="1"/>
  <c r="X11" i="5" s="1"/>
  <c r="Y11" i="5" s="1"/>
  <c r="Z11" i="5" s="1"/>
  <c r="AA11" i="5" s="1"/>
  <c r="U12" i="5" s="1"/>
  <c r="V12" i="5" s="1"/>
  <c r="W12" i="5" s="1"/>
  <c r="X12" i="5" s="1"/>
  <c r="Y12" i="5" s="1"/>
  <c r="Z12" i="5" s="1"/>
  <c r="AA12" i="5" s="1"/>
  <c r="U13" i="5" s="1"/>
  <c r="V13" i="5" s="1"/>
  <c r="W13" i="5" s="1"/>
  <c r="X13" i="5" s="1"/>
  <c r="Y13" i="5" s="1"/>
  <c r="Z13" i="5" s="1"/>
  <c r="AA13" i="5" s="1"/>
  <c r="U14" i="5" s="1"/>
  <c r="V14" i="5" s="1"/>
  <c r="W14" i="5" s="1"/>
  <c r="X14" i="5" s="1"/>
  <c r="Y14" i="5" s="1"/>
  <c r="Z14" i="5" s="1"/>
  <c r="AA14" i="5" s="1"/>
  <c r="U15" i="5" s="1"/>
  <c r="V15" i="5" s="1"/>
  <c r="W15" i="5" s="1"/>
  <c r="X15" i="5" s="1"/>
  <c r="Y15" i="5" s="1"/>
  <c r="Z15" i="5" s="1"/>
  <c r="AA15" i="5" s="1"/>
  <c r="AC9" i="5"/>
  <c r="AC11" i="5" l="1"/>
  <c r="AD11" i="5" s="1"/>
  <c r="AE11" i="5" s="1"/>
  <c r="AF11" i="5" s="1"/>
  <c r="AG11" i="5" s="1"/>
  <c r="AH11" i="5" s="1"/>
  <c r="AI11" i="5" s="1"/>
  <c r="AC12" i="5" s="1"/>
  <c r="AD12" i="5" s="1"/>
  <c r="AE12" i="5" s="1"/>
  <c r="AF12" i="5" s="1"/>
  <c r="AG12" i="5" s="1"/>
  <c r="AH12" i="5" s="1"/>
  <c r="AI12" i="5" s="1"/>
  <c r="AC13" i="5" s="1"/>
  <c r="AD13" i="5" s="1"/>
  <c r="AE13" i="5" s="1"/>
  <c r="AF13" i="5" s="1"/>
  <c r="AG13" i="5" s="1"/>
  <c r="AH13" i="5" s="1"/>
  <c r="AI13" i="5" s="1"/>
  <c r="AC14" i="5" s="1"/>
  <c r="AD14" i="5" s="1"/>
  <c r="AE14" i="5" s="1"/>
  <c r="AF14" i="5" s="1"/>
  <c r="AG14" i="5" s="1"/>
  <c r="AH14" i="5" s="1"/>
  <c r="AI14" i="5" s="1"/>
  <c r="AC15" i="5" s="1"/>
  <c r="AD15" i="5" s="1"/>
  <c r="AE15" i="5" s="1"/>
  <c r="AF15" i="5" s="1"/>
  <c r="AG15" i="5" s="1"/>
  <c r="AH15" i="5" s="1"/>
  <c r="AI15" i="5" s="1"/>
  <c r="AC16" i="5" s="1"/>
  <c r="AD16" i="5" s="1"/>
  <c r="AE16" i="5" s="1"/>
  <c r="AF16" i="5" s="1"/>
  <c r="AG16" i="5" s="1"/>
  <c r="AH16" i="5" s="1"/>
  <c r="AI16" i="5" s="1"/>
  <c r="E20" i="5"/>
  <c r="M20" i="5" l="1"/>
  <c r="E22" i="5"/>
  <c r="F22" i="5" s="1"/>
  <c r="G22" i="5" s="1"/>
  <c r="H22" i="5" s="1"/>
  <c r="I22" i="5" s="1"/>
  <c r="J22" i="5" s="1"/>
  <c r="K22" i="5" s="1"/>
  <c r="E23" i="5" s="1"/>
  <c r="F23" i="5" s="1"/>
  <c r="G23" i="5" s="1"/>
  <c r="H23" i="5" s="1"/>
  <c r="I23" i="5" s="1"/>
  <c r="J23" i="5" s="1"/>
  <c r="K23" i="5" s="1"/>
  <c r="E24" i="5" s="1"/>
  <c r="F24" i="5" s="1"/>
  <c r="G24" i="5" s="1"/>
  <c r="H24" i="5" s="1"/>
  <c r="I24" i="5" s="1"/>
  <c r="J24" i="5" s="1"/>
  <c r="K24" i="5" s="1"/>
  <c r="E25" i="5" s="1"/>
  <c r="F25" i="5" s="1"/>
  <c r="G25" i="5" s="1"/>
  <c r="H25" i="5" s="1"/>
  <c r="I25" i="5" s="1"/>
  <c r="J25" i="5" s="1"/>
  <c r="K25" i="5" s="1"/>
  <c r="E26" i="5" s="1"/>
  <c r="F26" i="5" s="1"/>
  <c r="G26" i="5" s="1"/>
  <c r="H26" i="5" s="1"/>
  <c r="I26" i="5" s="1"/>
  <c r="J26" i="5" s="1"/>
  <c r="K26" i="5" s="1"/>
  <c r="E27" i="5" s="1"/>
  <c r="F27" i="5" s="1"/>
  <c r="G27" i="5" s="1"/>
  <c r="H27" i="5" s="1"/>
  <c r="I27" i="5" s="1"/>
  <c r="J27" i="5" s="1"/>
  <c r="K27" i="5" s="1"/>
  <c r="M22" i="5" l="1"/>
  <c r="N22" i="5" s="1"/>
  <c r="O22" i="5" s="1"/>
  <c r="P22" i="5" s="1"/>
  <c r="Q22" i="5" s="1"/>
  <c r="R22" i="5" s="1"/>
  <c r="S22" i="5" s="1"/>
  <c r="M23" i="5" s="1"/>
  <c r="N23" i="5" s="1"/>
  <c r="O23" i="5" s="1"/>
  <c r="P23" i="5" s="1"/>
  <c r="Q23" i="5" s="1"/>
  <c r="R23" i="5" s="1"/>
  <c r="S23" i="5" s="1"/>
  <c r="M24" i="5" s="1"/>
  <c r="N24" i="5" s="1"/>
  <c r="O24" i="5" s="1"/>
  <c r="P24" i="5" s="1"/>
  <c r="Q24" i="5" s="1"/>
  <c r="R24" i="5" s="1"/>
  <c r="S24" i="5" s="1"/>
  <c r="M25" i="5" s="1"/>
  <c r="N25" i="5" s="1"/>
  <c r="O25" i="5" s="1"/>
  <c r="P25" i="5" s="1"/>
  <c r="Q25" i="5" s="1"/>
  <c r="R25" i="5" s="1"/>
  <c r="S25" i="5" s="1"/>
  <c r="M26" i="5" s="1"/>
  <c r="N26" i="5" s="1"/>
  <c r="O26" i="5" s="1"/>
  <c r="P26" i="5" s="1"/>
  <c r="Q26" i="5" s="1"/>
  <c r="R26" i="5" s="1"/>
  <c r="S26" i="5" s="1"/>
  <c r="M27" i="5" s="1"/>
  <c r="N27" i="5" s="1"/>
  <c r="O27" i="5" s="1"/>
  <c r="P27" i="5" s="1"/>
  <c r="Q27" i="5" s="1"/>
  <c r="R27" i="5" s="1"/>
  <c r="S27" i="5" s="1"/>
  <c r="U20" i="5"/>
  <c r="AC20" i="5" l="1"/>
  <c r="U22" i="5"/>
  <c r="V22" i="5" s="1"/>
  <c r="W22" i="5" s="1"/>
  <c r="X22" i="5" s="1"/>
  <c r="Y22" i="5" s="1"/>
  <c r="Z22" i="5" s="1"/>
  <c r="AA22" i="5" s="1"/>
  <c r="U23" i="5" s="1"/>
  <c r="V23" i="5" s="1"/>
  <c r="W23" i="5" s="1"/>
  <c r="X23" i="5" s="1"/>
  <c r="Y23" i="5" s="1"/>
  <c r="Z23" i="5" s="1"/>
  <c r="AA23" i="5" s="1"/>
  <c r="U24" i="5" s="1"/>
  <c r="V24" i="5" s="1"/>
  <c r="W24" i="5" s="1"/>
  <c r="X24" i="5" s="1"/>
  <c r="Y24" i="5" s="1"/>
  <c r="Z24" i="5" s="1"/>
  <c r="AA24" i="5" s="1"/>
  <c r="U25" i="5" s="1"/>
  <c r="V25" i="5" s="1"/>
  <c r="W25" i="5" s="1"/>
  <c r="X25" i="5" s="1"/>
  <c r="Y25" i="5" s="1"/>
  <c r="Z25" i="5" s="1"/>
  <c r="AA25" i="5" s="1"/>
  <c r="U26" i="5" s="1"/>
  <c r="V26" i="5" s="1"/>
  <c r="W26" i="5" s="1"/>
  <c r="X26" i="5" s="1"/>
  <c r="Y26" i="5" s="1"/>
  <c r="Z26" i="5" s="1"/>
  <c r="AA26" i="5" s="1"/>
  <c r="U27" i="5" s="1"/>
  <c r="V27" i="5" s="1"/>
  <c r="W27" i="5" s="1"/>
  <c r="X27" i="5" s="1"/>
  <c r="Y27" i="5" s="1"/>
  <c r="Z27" i="5" s="1"/>
  <c r="AA27" i="5" s="1"/>
  <c r="E29" i="5" l="1"/>
  <c r="AC22" i="5"/>
  <c r="AD22" i="5" s="1"/>
  <c r="AE22" i="5" s="1"/>
  <c r="AF22" i="5" s="1"/>
  <c r="AG22" i="5" s="1"/>
  <c r="AH22" i="5" s="1"/>
  <c r="AI22" i="5" s="1"/>
  <c r="AC23" i="5" s="1"/>
  <c r="AD23" i="5" s="1"/>
  <c r="AE23" i="5" s="1"/>
  <c r="AF23" i="5" s="1"/>
  <c r="AG23" i="5" s="1"/>
  <c r="AH23" i="5" s="1"/>
  <c r="AI23" i="5" s="1"/>
  <c r="AC24" i="5" s="1"/>
  <c r="AD24" i="5" s="1"/>
  <c r="AE24" i="5" s="1"/>
  <c r="AF24" i="5" s="1"/>
  <c r="AG24" i="5" s="1"/>
  <c r="AH24" i="5" s="1"/>
  <c r="AI24" i="5" s="1"/>
  <c r="AC25" i="5" s="1"/>
  <c r="AD25" i="5" s="1"/>
  <c r="AE25" i="5" s="1"/>
  <c r="AF25" i="5" s="1"/>
  <c r="AG25" i="5" s="1"/>
  <c r="AH25" i="5" l="1"/>
  <c r="AI25" i="5" s="1"/>
  <c r="AC26" i="5" s="1"/>
  <c r="AD26" i="5" s="1"/>
  <c r="AE26" i="5" s="1"/>
  <c r="AF26" i="5" s="1"/>
  <c r="AG26" i="5" s="1"/>
  <c r="AH26" i="5" s="1"/>
  <c r="AI26" i="5" s="1"/>
  <c r="AC27" i="5" s="1"/>
  <c r="AD27" i="5" s="1"/>
  <c r="AE27" i="5" s="1"/>
  <c r="AF27" i="5" s="1"/>
  <c r="AG27" i="5" s="1"/>
  <c r="AH27" i="5" s="1"/>
  <c r="AI27" i="5" s="1"/>
  <c r="M29" i="5"/>
  <c r="E31" i="5"/>
  <c r="F31" i="5" s="1"/>
  <c r="G31" i="5" s="1"/>
  <c r="H31" i="5" s="1"/>
  <c r="I31" i="5" s="1"/>
  <c r="J31" i="5" s="1"/>
  <c r="K31" i="5" s="1"/>
  <c r="E32" i="5" s="1"/>
  <c r="F32" i="5" s="1"/>
  <c r="G32" i="5" s="1"/>
  <c r="H32" i="5" s="1"/>
  <c r="I32" i="5" s="1"/>
  <c r="J32" i="5" s="1"/>
  <c r="K32" i="5" s="1"/>
  <c r="E33" i="5" s="1"/>
  <c r="F33" i="5" s="1"/>
  <c r="G33" i="5" s="1"/>
  <c r="H33" i="5" s="1"/>
  <c r="I33" i="5" s="1"/>
  <c r="J33" i="5" s="1"/>
  <c r="K33" i="5" s="1"/>
  <c r="E34" i="5" s="1"/>
  <c r="F34" i="5" s="1"/>
  <c r="G34" i="5" s="1"/>
  <c r="H34" i="5" s="1"/>
  <c r="I34" i="5" s="1"/>
  <c r="J34" i="5" s="1"/>
  <c r="K34" i="5" s="1"/>
  <c r="E35" i="5" s="1"/>
  <c r="F35" i="5" s="1"/>
  <c r="G35" i="5" s="1"/>
  <c r="H35" i="5" s="1"/>
  <c r="I35" i="5" s="1"/>
  <c r="J35" i="5" s="1"/>
  <c r="K35" i="5" s="1"/>
  <c r="E36" i="5" s="1"/>
  <c r="F36" i="5" s="1"/>
  <c r="G36" i="5" s="1"/>
  <c r="H36" i="5" s="1"/>
  <c r="I36" i="5" s="1"/>
  <c r="J36" i="5" s="1"/>
  <c r="K36" i="5" s="1"/>
  <c r="U29" i="5" l="1"/>
  <c r="M31" i="5"/>
  <c r="N31" i="5" s="1"/>
  <c r="O31" i="5" s="1"/>
  <c r="P31" i="5" s="1"/>
  <c r="Q31" i="5" s="1"/>
  <c r="R31" i="5" s="1"/>
  <c r="S31" i="5" s="1"/>
  <c r="M32" i="5" s="1"/>
  <c r="N32" i="5" s="1"/>
  <c r="O32" i="5" s="1"/>
  <c r="P32" i="5" s="1"/>
  <c r="Q32" i="5" s="1"/>
  <c r="R32" i="5" s="1"/>
  <c r="S32" i="5" s="1"/>
  <c r="M33" i="5" s="1"/>
  <c r="N33" i="5" s="1"/>
  <c r="O33" i="5" s="1"/>
  <c r="P33" i="5" s="1"/>
  <c r="Q33" i="5" s="1"/>
  <c r="R33" i="5" s="1"/>
  <c r="S33" i="5" s="1"/>
  <c r="M34" i="5" s="1"/>
  <c r="N34" i="5" s="1"/>
  <c r="O34" i="5" s="1"/>
  <c r="P34" i="5" s="1"/>
  <c r="Q34" i="5" s="1"/>
  <c r="R34" i="5" s="1"/>
  <c r="S34" i="5" s="1"/>
  <c r="M35" i="5" s="1"/>
  <c r="N35" i="5" s="1"/>
  <c r="O35" i="5" s="1"/>
  <c r="P35" i="5" s="1"/>
  <c r="Q35" i="5" s="1"/>
  <c r="R35" i="5" s="1"/>
  <c r="S35" i="5" s="1"/>
  <c r="M36" i="5" s="1"/>
  <c r="N36" i="5" s="1"/>
  <c r="O36" i="5" s="1"/>
  <c r="P36" i="5" s="1"/>
  <c r="Q36" i="5" s="1"/>
  <c r="R36" i="5" s="1"/>
  <c r="S36" i="5" s="1"/>
  <c r="U31" i="5" l="1"/>
  <c r="V31" i="5" s="1"/>
  <c r="W31" i="5" s="1"/>
  <c r="X31" i="5" s="1"/>
  <c r="Y31" i="5" s="1"/>
  <c r="Z31" i="5" s="1"/>
  <c r="AA31" i="5" s="1"/>
  <c r="U32" i="5" s="1"/>
  <c r="V32" i="5" s="1"/>
  <c r="W32" i="5" s="1"/>
  <c r="X32" i="5" s="1"/>
  <c r="Y32" i="5" s="1"/>
  <c r="Z32" i="5" s="1"/>
  <c r="AA32" i="5" s="1"/>
  <c r="U33" i="5" s="1"/>
  <c r="V33" i="5" s="1"/>
  <c r="W33" i="5" s="1"/>
  <c r="X33" i="5" s="1"/>
  <c r="Y33" i="5" s="1"/>
  <c r="Z33" i="5" s="1"/>
  <c r="AA33" i="5" s="1"/>
  <c r="U34" i="5" s="1"/>
  <c r="V34" i="5" s="1"/>
  <c r="W34" i="5" s="1"/>
  <c r="X34" i="5" s="1"/>
  <c r="Y34" i="5" s="1"/>
  <c r="Z34" i="5" s="1"/>
  <c r="AA34" i="5" s="1"/>
  <c r="U35" i="5" s="1"/>
  <c r="V35" i="5" s="1"/>
  <c r="W35" i="5" s="1"/>
  <c r="X35" i="5" s="1"/>
  <c r="Y35" i="5" s="1"/>
  <c r="Z35" i="5" s="1"/>
  <c r="AA35" i="5" s="1"/>
  <c r="AC29" i="5"/>
  <c r="AC31" i="5" s="1"/>
  <c r="AD31" i="5" s="1"/>
  <c r="AE31" i="5" s="1"/>
  <c r="AF31" i="5" s="1"/>
  <c r="AG31" i="5" s="1"/>
  <c r="AH31" i="5" s="1"/>
  <c r="AI31" i="5" s="1"/>
  <c r="AC32" i="5" s="1"/>
  <c r="AD32" i="5" s="1"/>
  <c r="AE32" i="5" s="1"/>
  <c r="AF32" i="5" s="1"/>
  <c r="AG32" i="5" s="1"/>
  <c r="AH32" i="5" s="1"/>
  <c r="AI32" i="5" s="1"/>
  <c r="AC33" i="5" s="1"/>
  <c r="AD33" i="5" s="1"/>
  <c r="AE33" i="5" s="1"/>
  <c r="AF33" i="5" s="1"/>
  <c r="AG33" i="5" s="1"/>
  <c r="AH33" i="5" s="1"/>
  <c r="AI33" i="5" s="1"/>
  <c r="AC34" i="5" s="1"/>
  <c r="AD34" i="5" s="1"/>
  <c r="AE34" i="5" s="1"/>
  <c r="AF34" i="5" s="1"/>
  <c r="AG34" i="5" s="1"/>
  <c r="AH34" i="5" s="1"/>
  <c r="AI34" i="5" s="1"/>
  <c r="AC35" i="5" s="1"/>
  <c r="AD35" i="5" s="1"/>
  <c r="AE35" i="5" s="1"/>
  <c r="AF35" i="5" s="1"/>
  <c r="AG35" i="5" s="1"/>
  <c r="AH35" i="5" s="1"/>
  <c r="AI35" i="5" s="1"/>
  <c r="AC36" i="5" s="1"/>
  <c r="AD36" i="5" s="1"/>
  <c r="AE36" i="5" s="1"/>
  <c r="AF36" i="5" s="1"/>
  <c r="AG36" i="5" s="1"/>
  <c r="AH36" i="5" s="1"/>
  <c r="AI36" i="5" s="1"/>
  <c r="E86" i="3" l="1"/>
  <c r="F71" i="3"/>
  <c r="E50" i="3"/>
  <c r="F6" i="3" l="1"/>
  <c r="E6" i="3"/>
  <c r="E93" i="3"/>
  <c r="E92" i="3"/>
  <c r="E91" i="3"/>
  <c r="E90" i="3"/>
  <c r="F87" i="3"/>
  <c r="E87" i="3"/>
  <c r="E83" i="3"/>
  <c r="E81" i="3"/>
  <c r="E80" i="3"/>
  <c r="F82" i="3"/>
  <c r="E82" i="3"/>
  <c r="F79" i="3"/>
  <c r="E79" i="3"/>
  <c r="E78" i="3"/>
  <c r="F77" i="3"/>
  <c r="E77" i="3"/>
  <c r="E73" i="3"/>
  <c r="F72" i="3"/>
  <c r="E72" i="3"/>
  <c r="E71" i="3"/>
  <c r="F70" i="3"/>
  <c r="E70" i="3"/>
  <c r="F68" i="3"/>
  <c r="E68" i="3"/>
  <c r="F67" i="3"/>
  <c r="E67" i="3"/>
  <c r="F66" i="3"/>
  <c r="E66" i="3"/>
  <c r="F65" i="3"/>
  <c r="E65" i="3"/>
  <c r="F64" i="3"/>
  <c r="E64" i="3"/>
  <c r="F62" i="3"/>
  <c r="E62" i="3"/>
  <c r="F61" i="3"/>
  <c r="E61" i="3"/>
  <c r="F60" i="3"/>
  <c r="E60" i="3"/>
  <c r="F58" i="3"/>
  <c r="E58" i="3"/>
  <c r="F59" i="3"/>
  <c r="E59" i="3"/>
  <c r="F56" i="3"/>
  <c r="E56" i="3"/>
  <c r="F55" i="3"/>
  <c r="E55" i="3"/>
  <c r="E52" i="3"/>
  <c r="F49" i="3"/>
  <c r="E49" i="3"/>
  <c r="E47" i="3"/>
  <c r="E45" i="3"/>
  <c r="F44" i="3"/>
  <c r="E44" i="3"/>
  <c r="F43" i="3"/>
  <c r="E43" i="3"/>
  <c r="E42" i="3"/>
  <c r="E41" i="3"/>
  <c r="F37" i="3"/>
  <c r="E37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8" i="3"/>
  <c r="E28" i="3"/>
  <c r="F27" i="3"/>
  <c r="E27" i="3"/>
  <c r="F26" i="3"/>
  <c r="E26" i="3"/>
  <c r="F25" i="3"/>
  <c r="E25" i="3"/>
  <c r="F24" i="3"/>
  <c r="E24" i="3"/>
  <c r="F23" i="3"/>
  <c r="E23" i="3"/>
  <c r="F21" i="3"/>
  <c r="E21" i="3"/>
  <c r="F20" i="3"/>
  <c r="E20" i="3"/>
  <c r="F17" i="3"/>
  <c r="E17" i="3"/>
  <c r="F18" i="3"/>
  <c r="E18" i="3"/>
  <c r="F15" i="3"/>
  <c r="E15" i="3"/>
  <c r="F14" i="3"/>
  <c r="E14" i="3"/>
  <c r="F19" i="3"/>
  <c r="E19" i="3"/>
  <c r="F13" i="3"/>
  <c r="E13" i="3"/>
  <c r="E10" i="3"/>
  <c r="F9" i="3"/>
  <c r="E9" i="3"/>
  <c r="F8" i="3"/>
  <c r="E8" i="3"/>
  <c r="F7" i="3"/>
  <c r="E7" i="3"/>
  <c r="E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5" authorId="0" shapeId="0" xr:uid="{00000000-0006-0000-0000-000001000000}">
      <text>
        <r>
          <rPr>
            <sz val="9"/>
            <color indexed="62"/>
            <rFont val="Tahoma"/>
            <family val="2"/>
          </rPr>
          <t>Año Nuevo</t>
        </r>
      </text>
    </comment>
    <comment ref="AH7" authorId="0" shapeId="0" xr:uid="{00000000-0006-0000-0000-000002000000}">
      <text>
        <r>
          <rPr>
            <sz val="9"/>
            <color indexed="62"/>
            <rFont val="Tahoma"/>
            <family val="2"/>
          </rPr>
          <t>Viernes Santo</t>
        </r>
      </text>
    </comment>
    <comment ref="AI7" authorId="0" shapeId="0" xr:uid="{00000000-0006-0000-0000-000003000000}">
      <text>
        <r>
          <rPr>
            <sz val="9"/>
            <color indexed="62"/>
            <rFont val="Tahoma"/>
            <family val="2"/>
          </rPr>
          <t>Sábado Santo</t>
        </r>
      </text>
    </comment>
    <comment ref="AJ7" authorId="0" shapeId="0" xr:uid="{00000000-0006-0000-0000-000004000000}">
      <text>
        <r>
          <rPr>
            <sz val="9"/>
            <color indexed="62"/>
            <rFont val="Tahoma"/>
            <family val="2"/>
          </rPr>
          <t>Pascua</t>
        </r>
      </text>
    </comment>
    <comment ref="F14" authorId="0" shapeId="0" xr:uid="{00000000-0006-0000-0000-000005000000}">
      <text>
        <r>
          <rPr>
            <sz val="9"/>
            <color indexed="62"/>
            <rFont val="Tahoma"/>
            <family val="2"/>
          </rPr>
          <t>Día del Trabajo</t>
        </r>
      </text>
    </comment>
    <comment ref="W16" authorId="0" shapeId="0" xr:uid="{00000000-0006-0000-0000-000006000000}">
      <text>
        <r>
          <rPr>
            <sz val="9"/>
            <color indexed="62"/>
            <rFont val="Tahoma"/>
            <family val="2"/>
          </rPr>
          <t>Virgen del Carmen</t>
        </r>
      </text>
    </comment>
    <comment ref="AH16" authorId="0" shapeId="0" xr:uid="{00000000-0006-0000-0000-000007000000}">
      <text>
        <r>
          <rPr>
            <sz val="9"/>
            <color indexed="62"/>
            <rFont val="Tahoma"/>
            <family val="2"/>
          </rPr>
          <t>Asunción de la Virgen</t>
        </r>
      </text>
    </comment>
    <comment ref="E17" authorId="0" shapeId="0" xr:uid="{00000000-0006-0000-0000-000008000000}">
      <text>
        <r>
          <rPr>
            <sz val="9"/>
            <color indexed="62"/>
            <rFont val="Tahoma"/>
            <family val="2"/>
          </rPr>
          <t>Glorias Navales</t>
        </r>
      </text>
    </comment>
    <comment ref="R18" authorId="0" shapeId="0" xr:uid="{00000000-0006-0000-0000-000009000000}">
      <text>
        <r>
          <rPr>
            <sz val="9"/>
            <color indexed="62"/>
            <rFont val="Tahoma"/>
            <family val="2"/>
          </rPr>
          <t>San Pedro y San Pablo</t>
        </r>
      </text>
    </comment>
    <comment ref="Z23" authorId="0" shapeId="0" xr:uid="{00000000-0006-0000-0000-00000A000000}">
      <text>
        <r>
          <rPr>
            <sz val="9"/>
            <color indexed="62"/>
            <rFont val="Tahoma"/>
            <family val="2"/>
          </rPr>
          <t>Día de Todos los Santos</t>
        </r>
      </text>
    </comment>
    <comment ref="AD24" authorId="0" shapeId="0" xr:uid="{00000000-0006-0000-0000-00000B000000}">
      <text>
        <r>
          <rPr>
            <sz val="9"/>
            <color indexed="62"/>
            <rFont val="Tahoma"/>
            <family val="2"/>
          </rPr>
          <t>Día de la Inmaculada Concepción</t>
        </r>
      </text>
    </comment>
    <comment ref="F25" authorId="0" shapeId="0" xr:uid="{00000000-0006-0000-0000-00000C000000}">
      <text>
        <r>
          <rPr>
            <sz val="9"/>
            <color indexed="62"/>
            <rFont val="Tahoma"/>
            <family val="2"/>
          </rPr>
          <t>Fiestas Patrias</t>
        </r>
      </text>
    </comment>
    <comment ref="G25" authorId="0" shapeId="0" xr:uid="{00000000-0006-0000-0000-00000D000000}">
      <text>
        <r>
          <rPr>
            <sz val="9"/>
            <color indexed="62"/>
            <rFont val="Tahoma"/>
            <family val="2"/>
          </rPr>
          <t>Glorias del Ejército</t>
        </r>
      </text>
    </comment>
    <comment ref="AG26" authorId="0" shapeId="0" xr:uid="{00000000-0006-0000-0000-00000E000000}">
      <text>
        <r>
          <rPr>
            <sz val="9"/>
            <color indexed="62"/>
            <rFont val="Tahoma"/>
            <family val="2"/>
          </rPr>
          <t>Navidad</t>
        </r>
      </text>
    </comment>
    <comment ref="P27" authorId="0" shapeId="0" xr:uid="{00000000-0006-0000-0000-00000F000000}">
      <text>
        <r>
          <rPr>
            <sz val="9"/>
            <color indexed="62"/>
            <rFont val="Tahoma"/>
            <family val="2"/>
          </rPr>
          <t>Día de las Iglesias Evangélicas y Protestantes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tc={28C26CEE-96A5-49FD-B6BA-BA8CBDED54F4}</author>
    <author>tc={0205E344-06E3-4F51-89D9-1A34018D1FD7}</author>
    <author>tc={13290D9B-CA77-40CA-9F39-E1383035A275}</author>
  </authors>
  <commentList>
    <comment ref="G37" authorId="0" shapeId="0" xr:uid="{28C26CEE-96A5-49FD-B6BA-BA8CBDED54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31-01-2026 último día hábil de enero</t>
      </text>
    </comment>
    <comment ref="I37" authorId="1" shapeId="0" xr:uid="{0205E344-06E3-4F51-89D9-1A34018D1F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Último día hábil antes del inicio de clases</t>
      </text>
    </comment>
    <comment ref="H38" authorId="2" shapeId="0" xr:uid="{13290D9B-CA77-40CA-9F39-E1383035A2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Día post cierre semestre</t>
      </text>
    </comment>
  </commentList>
</comments>
</file>

<file path=xl/sharedStrings.xml><?xml version="1.0" encoding="utf-8"?>
<sst xmlns="http://schemas.openxmlformats.org/spreadsheetml/2006/main" count="423" uniqueCount="122">
  <si>
    <t>Enero 2025</t>
  </si>
  <si>
    <t>Lun.</t>
  </si>
  <si>
    <t>Mar.</t>
  </si>
  <si>
    <t>Mié.</t>
  </si>
  <si>
    <t>Jue.</t>
  </si>
  <si>
    <t>Vie.</t>
  </si>
  <si>
    <t>Sáb.</t>
  </si>
  <si>
    <t>Dom.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</si>
  <si>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</si>
  <si>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</si>
  <si>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</si>
  <si>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</si>
  <si>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</si>
  <si>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</si>
  <si>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</si>
  <si>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</si>
  <si>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</si>
  <si>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</si>
  <si>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</si>
  <si>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Semana</t>
  </si>
  <si>
    <t>INSTITUTO PROFESIONAL DUOC UC
CALENDARIO ACADÉMICO 2025</t>
  </si>
  <si>
    <t>PERÍODO DE CLASES</t>
  </si>
  <si>
    <t>SEMANA CERO</t>
  </si>
  <si>
    <t>PREPARACIÓN ACADÉMICA</t>
  </si>
  <si>
    <t>ENCUESTA DOCENTE</t>
  </si>
  <si>
    <t>CIERRE SEMESTRE</t>
  </si>
  <si>
    <t>INSCRIPCIÓN DE ASIGNATURAS</t>
  </si>
  <si>
    <t>RECESO ACADÉMICO</t>
  </si>
  <si>
    <t>DESCRIPCIÓN</t>
  </si>
  <si>
    <t>TAV</t>
  </si>
  <si>
    <t>PRIMER SEMESTRE</t>
  </si>
  <si>
    <t>SEGUNDO SEMESTRE</t>
  </si>
  <si>
    <t>INICIO</t>
  </si>
  <si>
    <t>TÉRMINO</t>
  </si>
  <si>
    <t>MATRÍCULAS</t>
  </si>
  <si>
    <t>Período Matrícula para Estudiantes de Inicio</t>
  </si>
  <si>
    <t>-</t>
  </si>
  <si>
    <t>Período Postulación para Admisión Especial Externa</t>
  </si>
  <si>
    <t>Período Matrícula Admisión Especial Externa</t>
  </si>
  <si>
    <t>Período Matrícula Reincorporaciones y Reintegros</t>
  </si>
  <si>
    <t>Período Ordinario de Matrícula para Estudiantes de Continuidad</t>
  </si>
  <si>
    <t>Período Extraordinario de Matrícula para Estudiantes de Continuidad</t>
  </si>
  <si>
    <t>PERÍODO ACADÉMICO</t>
  </si>
  <si>
    <t>Período Inducción Estudiantes de Inicio (Semana cero)</t>
  </si>
  <si>
    <t>Período de Preparación y Coordinación Académica</t>
  </si>
  <si>
    <t>Período de Clases Temporada Académica Ordinaria</t>
  </si>
  <si>
    <t>Período de Clases Temporada Académica Extraordinaria de Verano</t>
  </si>
  <si>
    <t>Cierre Académico y Término del Semestre</t>
  </si>
  <si>
    <t>Período Ordinario de Inscripción de Asignaturas</t>
  </si>
  <si>
    <t>Período Modificación de Carga Académica Online (Estudiantes)</t>
  </si>
  <si>
    <t>Período Modificación de Carga Académica (Asistido)</t>
  </si>
  <si>
    <t>Período Extraordinario de Inscripción de Asignaturas</t>
  </si>
  <si>
    <t>EXAMINACIONES</t>
  </si>
  <si>
    <t>Período de Diagnóstico de Competencias Básicas, TICs y Test de Competencias Globales</t>
  </si>
  <si>
    <t>Período Extraordinario de Diagnóstico de Competencias Básicas, TICs y Test de Competencias Globales</t>
  </si>
  <si>
    <t>Encuesta Docente</t>
  </si>
  <si>
    <t>Período de Exámenes</t>
  </si>
  <si>
    <t>REGLAMENTARIOS</t>
  </si>
  <si>
    <t xml:space="preserve">Período de Apelación para Estudiantes con Causal de Eliminación </t>
  </si>
  <si>
    <t xml:space="preserve">Período para Suspensión Académica del Semestre </t>
  </si>
  <si>
    <t xml:space="preserve">Período para Retiro de Asignaturas </t>
  </si>
  <si>
    <t>Período para solicitud de nota pendiente (postergación de calificación)</t>
  </si>
  <si>
    <t>PASTORAL</t>
  </si>
  <si>
    <t>Misiones Solidarias</t>
  </si>
  <si>
    <t>FERIADOS, VÍSPERAS DE FERIADOS E INTERFERIADOS</t>
  </si>
  <si>
    <t>Feriado Año Nuevo</t>
  </si>
  <si>
    <t>Víspera de Feriado Semana Santa - Media Jornada Académica (13:00 hrs.)</t>
  </si>
  <si>
    <t>Feriado Semana Santa (Viernes Santo y Sábado Santo)</t>
  </si>
  <si>
    <t xml:space="preserve">Feriado Día del Trabajador </t>
  </si>
  <si>
    <t>Feriado Día de las Glorias Navales</t>
  </si>
  <si>
    <t>Feriado Día Nacional de los Pueblos Indígenas</t>
  </si>
  <si>
    <t>Feriado San Pedro y San Pablo</t>
  </si>
  <si>
    <t>Feriado Día de la Virgen del Carmen</t>
  </si>
  <si>
    <t>Feriado Día de la Asunción de la Virgen</t>
  </si>
  <si>
    <t>Víspera de Feriado Fiestas Patrias - Media Jornada Académica (13:00 hrs.)</t>
  </si>
  <si>
    <t xml:space="preserve">Feriado Fiestas Patrias - Independencia de Chile | Glorias del Ejército </t>
  </si>
  <si>
    <t>Feriado Encuentro de Dos Mundos</t>
  </si>
  <si>
    <t>Feriado Día de las Iglesias Evangélicas y Protestantes</t>
  </si>
  <si>
    <t xml:space="preserve">Feriado Día de Todos los Santos </t>
  </si>
  <si>
    <t>Víspera de Feriado Navidad - Media Jornada Académica (13:00 hrs.)</t>
  </si>
  <si>
    <t>Feriado Día de Navidad</t>
  </si>
  <si>
    <t>Víspera de Feriado Año Nuevo - Media Jornada Académica (13:00 hrs.)</t>
  </si>
  <si>
    <t>Período de Clases Temporada Académica Ordinaria de Verano</t>
  </si>
  <si>
    <t>Período de Apelación para Estudiantes con Causal de Eliminación</t>
  </si>
  <si>
    <t>Período para Retiro de Asignaturas</t>
  </si>
  <si>
    <t>Víspera de Feriado Semana Santa - Media Jornada Académica (13:00 hrs)</t>
  </si>
  <si>
    <t>Feriado Día del Trabajador</t>
  </si>
  <si>
    <t>Período Matrícula para Admisión Especial Externa</t>
  </si>
  <si>
    <t>Feriado Día de la Inmaculada Concepción de la Virgen</t>
  </si>
  <si>
    <t>Feriado día de Navidad</t>
  </si>
  <si>
    <t>PERÍODO EXÁMENES</t>
  </si>
  <si>
    <t>Feriado Inmaculada Concepción de la Virgen</t>
  </si>
  <si>
    <t xml:space="preserve"> </t>
  </si>
  <si>
    <t xml:space="preserve">Año  </t>
  </si>
  <si>
    <t xml:space="preserve">Mes  </t>
  </si>
  <si>
    <t xml:space="preserve">Día de inicio  </t>
  </si>
  <si>
    <t>1:Dom, 2:Lun...</t>
  </si>
  <si>
    <t>ASUNTOS ESTUDIANTILES</t>
  </si>
  <si>
    <t xml:space="preserve">Elección de  consejeros de carrera </t>
  </si>
  <si>
    <t xml:space="preserve">Investiduras Consejeros de Carrera </t>
  </si>
  <si>
    <t xml:space="preserve"> -</t>
  </si>
  <si>
    <t xml:space="preserve"> - </t>
  </si>
  <si>
    <t>Estado de reprobación por Inasistencia</t>
  </si>
  <si>
    <t>FERIADOS</t>
  </si>
  <si>
    <t>Período para Suspensión Académica Extraordinaria del Semestre para estudiantes cuidadores</t>
  </si>
  <si>
    <t>INSTITUTO PROFESIONAL DUOC UC
CALENDARIO ACADÉMICO 2027</t>
  </si>
  <si>
    <t>Plazo acreditación estudiante cuidador para acceder a la prioridad de inscripción de asignatura 2027</t>
  </si>
  <si>
    <t>Período de inscripción Semestre Cero Estudiantes de Inicio</t>
  </si>
  <si>
    <t>Período Postulación Reincorporaciones y Reintegros</t>
  </si>
  <si>
    <t>CALENDARIO ACADÉMICO 2027</t>
  </si>
  <si>
    <t>Plazo acreditación estudiante cuidador para acceder a la prioridad de inscripción de asignatura 2027-2.</t>
  </si>
  <si>
    <r>
      <t>2</t>
    </r>
    <r>
      <rPr>
        <b/>
        <vertAlign val="superscript"/>
        <sz val="12"/>
        <color theme="1" tint="4.9989318521683403E-2"/>
        <rFont val="Calibri Light"/>
        <family val="2"/>
        <scheme val="major"/>
      </rPr>
      <t>do</t>
    </r>
    <r>
      <rPr>
        <b/>
        <sz val="12"/>
        <color theme="1" tint="4.9989318521683403E-2"/>
        <rFont val="Calibri Light"/>
        <family val="2"/>
        <scheme val="major"/>
      </rPr>
      <t xml:space="preserve"> SEMESTRE / 2027-2</t>
    </r>
  </si>
  <si>
    <t xml:space="preserve">Elección de Consejeros de Carrera </t>
  </si>
  <si>
    <t>Plazo acreditación estudiante cuidador para acceder a la prioridad de inscripción de asignatura 2028-1.</t>
  </si>
  <si>
    <t>Período de Inscripción Semestre Cero Estudiantes de Inicio</t>
  </si>
  <si>
    <r>
      <t>1</t>
    </r>
    <r>
      <rPr>
        <b/>
        <vertAlign val="superscript"/>
        <sz val="12"/>
        <color theme="1" tint="4.9989318521683403E-2"/>
        <rFont val="Calibri Light"/>
        <family val="2"/>
        <scheme val="major"/>
      </rPr>
      <t>er</t>
    </r>
    <r>
      <rPr>
        <b/>
        <sz val="12"/>
        <color theme="1" tint="4.9989318521683403E-2"/>
        <rFont val="Calibri Light"/>
        <family val="2"/>
        <scheme val="major"/>
      </rPr>
      <t xml:space="preserve"> SEMESTRE / 2027-1</t>
    </r>
  </si>
  <si>
    <t>Período Postulación Cambios Internos (Admisión Especial Interna)</t>
  </si>
  <si>
    <t>Período Matrícula Cambios Internos (Admisión Especial Interna)</t>
  </si>
  <si>
    <t>Feriado adicional de Fiestas Patrias</t>
  </si>
  <si>
    <t>Semana de asesoria académica y progresión</t>
  </si>
  <si>
    <t>Aniversario Duoc UC - Suspensión de actividades académicas a partir de las 15:15 Hrs., incluida jornada vespertina.</t>
  </si>
  <si>
    <t>Semana de asesoría académica y progresión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</si>
</sst>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dd"/>
    <numFmt numFmtId="166" formatCode="d"/>
    <numFmt numFmtId="167" formatCode="ddd\ dd/mm/yyyy"/>
    <numFmt numFmtId="168" formatCode="mmmm\ \'yy"/>
  </numFmts>
  <fonts count="5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263E74"/>
      <name val="Arial"/>
      <family val="2"/>
    </font>
    <font>
      <b/>
      <sz val="14"/>
      <color rgb="FF263E74"/>
      <name val="Arial"/>
      <family val="2"/>
    </font>
    <font>
      <b/>
      <sz val="10"/>
      <color rgb="FFFFFFFF"/>
      <name val="Arial"/>
      <family val="2"/>
    </font>
    <font>
      <b/>
      <sz val="10"/>
      <color rgb="FFFFFFCC"/>
      <name val="Arial"/>
      <family val="2"/>
    </font>
    <font>
      <sz val="9"/>
      <color indexed="8"/>
      <name val="Arial Narrow"/>
      <family val="2"/>
    </font>
    <font>
      <sz val="9"/>
      <color rgb="FF263E74"/>
      <name val="Arial Narrow"/>
      <family val="2"/>
    </font>
    <font>
      <b/>
      <sz val="10"/>
      <color rgb="FF263E74"/>
      <name val="Arial"/>
      <family val="2"/>
    </font>
    <font>
      <sz val="9"/>
      <color indexed="62"/>
      <name val="Tahoma"/>
      <family val="2"/>
    </font>
    <font>
      <b/>
      <sz val="10"/>
      <color rgb="FF641A1A"/>
      <name val="Arial"/>
      <family val="2"/>
    </font>
    <font>
      <u/>
      <sz val="11"/>
      <color theme="10"/>
      <name val="Calibri"/>
      <family val="2"/>
      <scheme val="minor"/>
    </font>
    <font>
      <sz val="10"/>
      <color rgb="FF6D84A3"/>
      <name val="Calibri"/>
      <family val="2"/>
      <scheme val="minor"/>
    </font>
    <font>
      <sz val="10"/>
      <color rgb="FF226EB4"/>
      <name val="Calibri"/>
      <family val="2"/>
      <scheme val="minor"/>
    </font>
    <font>
      <b/>
      <sz val="9"/>
      <color rgb="FF263E74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16"/>
      <color rgb="FF0E3043"/>
      <name val="Calibri"/>
      <family val="2"/>
      <scheme val="minor"/>
    </font>
    <font>
      <b/>
      <sz val="9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2"/>
      <color theme="8" tint="-0.499984740745262"/>
      <name val="Arial"/>
      <family val="2"/>
    </font>
    <font>
      <b/>
      <sz val="14"/>
      <color theme="8" tint="-0.499984740745262"/>
      <name val="Arial"/>
      <family val="2"/>
    </font>
    <font>
      <b/>
      <sz val="9"/>
      <color theme="8" tint="-0.499984740745262"/>
      <name val="Arial"/>
      <family val="2"/>
    </font>
    <font>
      <b/>
      <sz val="10"/>
      <color theme="0"/>
      <name val="Arial"/>
      <family val="2"/>
    </font>
    <font>
      <b/>
      <sz val="8"/>
      <color rgb="FF203864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sz val="10"/>
      <name val="Calibri Light"/>
      <family val="2"/>
      <scheme val="major"/>
    </font>
    <font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4"/>
      <color theme="1" tint="4.9989318521683403E-2"/>
      <name val="Calibri Light"/>
      <family val="2"/>
      <scheme val="major"/>
    </font>
    <font>
      <sz val="10"/>
      <name val="Abadi Extra Light"/>
      <family val="2"/>
    </font>
    <font>
      <sz val="9"/>
      <name val="Abadi Extra Light"/>
      <family val="2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i/>
      <sz val="12"/>
      <color theme="1" tint="4.9989318521683403E-2"/>
      <name val="Calibri Light"/>
      <family val="2"/>
      <scheme val="major"/>
    </font>
    <font>
      <b/>
      <sz val="12"/>
      <color theme="1" tint="4.9989318521683403E-2"/>
      <name val="Calibri Light"/>
      <family val="2"/>
      <scheme val="major"/>
    </font>
    <font>
      <sz val="12"/>
      <color theme="1" tint="4.9989318521683403E-2"/>
      <name val="Calibri Light"/>
      <family val="2"/>
      <scheme val="major"/>
    </font>
    <font>
      <b/>
      <vertAlign val="superscript"/>
      <sz val="12"/>
      <color theme="1" tint="4.9989318521683403E-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6"/>
      <name val="Calibri Light"/>
      <family val="2"/>
      <scheme val="major"/>
    </font>
    <font>
      <sz val="12"/>
      <color rgb="FF002060"/>
      <name val="Calibri Light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3D1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968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9B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86">
    <border>
      <left/>
      <right/>
      <top/>
      <bottom/>
      <diagonal/>
    </border>
    <border>
      <left style="thin">
        <color rgb="FFABBCD5"/>
      </left>
      <right style="thin">
        <color rgb="FFC9C9C9"/>
      </right>
      <top style="thin">
        <color rgb="FF7C808A"/>
      </top>
      <bottom style="thin">
        <color rgb="FFC9C9C9"/>
      </bottom>
      <diagonal/>
    </border>
    <border>
      <left/>
      <right style="thin">
        <color rgb="FFD6DDEE"/>
      </right>
      <top style="thin">
        <color rgb="FF7C808A"/>
      </top>
      <bottom style="thin">
        <color rgb="FFD6DDEE"/>
      </bottom>
      <diagonal/>
    </border>
    <border>
      <left style="thin">
        <color rgb="FFD6DDEE"/>
      </left>
      <right style="thin">
        <color rgb="FFD6DDEE"/>
      </right>
      <top style="thin">
        <color rgb="FF7C808A"/>
      </top>
      <bottom style="thin">
        <color rgb="FFD6DDEE"/>
      </bottom>
      <diagonal/>
    </border>
    <border>
      <left style="thin">
        <color rgb="FFABBCD5"/>
      </left>
      <right style="thin">
        <color rgb="FFABBCD5"/>
      </right>
      <top style="thin">
        <color rgb="FF7C808A"/>
      </top>
      <bottom style="thin">
        <color rgb="FFC9C9C9"/>
      </bottom>
      <diagonal/>
    </border>
    <border>
      <left style="thin">
        <color rgb="FFD6DDEE"/>
      </left>
      <right style="thin">
        <color rgb="FFD6DDEE"/>
      </right>
      <top/>
      <bottom style="thin">
        <color rgb="FFD6DDEE"/>
      </bottom>
      <diagonal/>
    </border>
    <border>
      <left style="thin">
        <color rgb="FFD6DDEE"/>
      </left>
      <right style="thin">
        <color rgb="FFD6DDEE"/>
      </right>
      <top style="thin">
        <color rgb="FFD6DDEE"/>
      </top>
      <bottom style="thin">
        <color rgb="FFD6DDEE"/>
      </bottom>
      <diagonal/>
    </border>
    <border>
      <left style="thin">
        <color rgb="FFD6DDEE"/>
      </left>
      <right style="thin">
        <color rgb="FFD6DDEE"/>
      </right>
      <top style="thin">
        <color rgb="FFD6DDEE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rgb="FFABBCD5"/>
      </left>
      <right style="thin">
        <color rgb="FFABBCD5"/>
      </right>
      <top style="thin">
        <color rgb="FF7C808A"/>
      </top>
      <bottom/>
      <diagonal/>
    </border>
    <border>
      <left style="thin">
        <color rgb="FFABBCD5"/>
      </left>
      <right style="thin">
        <color rgb="FFC9C9C9"/>
      </right>
      <top style="thin">
        <color rgb="FF7C808A"/>
      </top>
      <bottom/>
      <diagonal/>
    </border>
    <border>
      <left/>
      <right style="thin">
        <color rgb="FFD6DDEE"/>
      </right>
      <top style="thin">
        <color rgb="FF7C808A"/>
      </top>
      <bottom/>
      <diagonal/>
    </border>
    <border>
      <left style="thin">
        <color rgb="FFD6DDEE"/>
      </left>
      <right style="thin">
        <color rgb="FFD6DDEE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rgb="FFD6DDEE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rgb="FFD6DDEE"/>
      </left>
      <right style="thin">
        <color rgb="FFD6DDEE"/>
      </right>
      <top style="thin">
        <color rgb="FF7C808A"/>
      </top>
      <bottom/>
      <diagonal/>
    </border>
    <border>
      <left style="thin">
        <color rgb="FFD6DDEE"/>
      </left>
      <right style="thin">
        <color rgb="FFD6DDEE"/>
      </right>
      <top/>
      <bottom/>
      <diagonal/>
    </border>
    <border>
      <left/>
      <right style="thin">
        <color rgb="FFD6DDEE"/>
      </right>
      <top style="thin">
        <color rgb="FFD6DDEE"/>
      </top>
      <bottom/>
      <diagonal/>
    </border>
    <border>
      <left/>
      <right style="thin">
        <color rgb="FFD6DDEE"/>
      </right>
      <top style="thin">
        <color rgb="FFD6DDEE"/>
      </top>
      <bottom style="thin">
        <color rgb="FFD6DDEE"/>
      </bottom>
      <diagonal/>
    </border>
    <border>
      <left/>
      <right style="thin">
        <color rgb="FFD6DDEE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 tint="4.9989318521683403E-2"/>
      </left>
      <right style="thin">
        <color indexed="64"/>
      </right>
      <top style="medium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medium">
        <color theme="1" tint="4.9989318521683403E-2"/>
      </top>
      <bottom style="thin">
        <color indexed="64"/>
      </bottom>
      <diagonal/>
    </border>
    <border>
      <left style="medium">
        <color theme="1" tint="4.9989318521683403E-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 tint="4.9989318521683403E-2"/>
      </right>
      <top style="thin">
        <color indexed="64"/>
      </top>
      <bottom/>
      <diagonal/>
    </border>
    <border>
      <left style="medium">
        <color theme="1" tint="4.9989318521683403E-2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thin">
        <color indexed="64"/>
      </top>
      <bottom style="medium">
        <color indexed="64"/>
      </bottom>
      <diagonal/>
    </border>
    <border>
      <left style="thin">
        <color rgb="FFDDEBF7"/>
      </left>
      <right style="thin">
        <color rgb="FFDDEBF7"/>
      </right>
      <top style="thin">
        <color indexed="54"/>
      </top>
      <bottom/>
      <diagonal/>
    </border>
    <border>
      <left style="thin">
        <color rgb="FF00B050"/>
      </left>
      <right style="thin">
        <color rgb="FFD6DDEE"/>
      </right>
      <top style="thin">
        <color rgb="FF00B050"/>
      </top>
      <bottom style="thin">
        <color rgb="FF00B050"/>
      </bottom>
      <diagonal/>
    </border>
    <border>
      <left style="thin">
        <color rgb="FFD6DDEE"/>
      </left>
      <right style="thin">
        <color rgb="FFD6DDEE"/>
      </right>
      <top style="thin">
        <color rgb="FF00B050"/>
      </top>
      <bottom style="thin">
        <color rgb="FF00B050"/>
      </bottom>
      <diagonal/>
    </border>
    <border>
      <left style="thin">
        <color rgb="FFD6DDEE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rgb="FFD6DDEE"/>
      </left>
      <right style="thin">
        <color rgb="FFD6DDEE"/>
      </right>
      <top style="thin">
        <color rgb="FFD6DDEE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ABBCD5"/>
      </left>
      <right style="thin">
        <color rgb="FFABBCD5"/>
      </right>
      <top style="thin">
        <color rgb="FF7030A0"/>
      </top>
      <bottom style="thin">
        <color rgb="FFC9C9C9"/>
      </bottom>
      <diagonal/>
    </border>
    <border>
      <left/>
      <right style="thin">
        <color rgb="FFD6DDEE"/>
      </right>
      <top style="thin">
        <color rgb="FF7030A0"/>
      </top>
      <bottom style="thin">
        <color rgb="FFD6DDEE"/>
      </bottom>
      <diagonal/>
    </border>
    <border>
      <left style="thin">
        <color rgb="FFD6DDEE"/>
      </left>
      <right style="thin">
        <color rgb="FFD6DDEE"/>
      </right>
      <top/>
      <bottom style="thin">
        <color rgb="FF7030A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D6DDEE"/>
      </left>
      <right/>
      <top/>
      <bottom style="thin">
        <color rgb="FFD6DDEE"/>
      </bottom>
      <diagonal/>
    </border>
    <border>
      <left/>
      <right style="thin">
        <color rgb="FFD6DDEE"/>
      </right>
      <top/>
      <bottom style="thin">
        <color rgb="FFD6DDEE"/>
      </bottom>
      <diagonal/>
    </border>
    <border>
      <left style="thin">
        <color rgb="FFD6DDEE"/>
      </left>
      <right style="thin">
        <color rgb="FFD6DDEE"/>
      </right>
      <top style="thin">
        <color rgb="FFD6DDEE"/>
      </top>
      <bottom style="thin">
        <color rgb="FF002060"/>
      </bottom>
      <diagonal/>
    </border>
    <border>
      <left style="thin">
        <color rgb="FFD6DDEE"/>
      </left>
      <right/>
      <top style="thin">
        <color rgb="FFD6DDEE"/>
      </top>
      <bottom/>
      <diagonal/>
    </border>
    <border>
      <left style="thin">
        <color rgb="FFABBCD5"/>
      </left>
      <right style="thin">
        <color rgb="FFC9C9C9"/>
      </right>
      <top style="thin">
        <color rgb="FF7030A0"/>
      </top>
      <bottom style="thin">
        <color rgb="FFC9C9C9"/>
      </bottom>
      <diagonal/>
    </border>
    <border>
      <left style="thin">
        <color rgb="FFD6DDEE"/>
      </left>
      <right/>
      <top style="thin">
        <color rgb="FFD6DDEE"/>
      </top>
      <bottom style="thin">
        <color rgb="FFD6DDEE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DDEBF7"/>
      </right>
      <top style="thin">
        <color indexed="54"/>
      </top>
      <bottom/>
      <diagonal/>
    </border>
    <border>
      <left style="thin">
        <color rgb="FFDDEBF7"/>
      </left>
      <right style="thin">
        <color rgb="FF002060"/>
      </right>
      <top style="thin">
        <color indexed="54"/>
      </top>
      <bottom/>
      <diagonal/>
    </border>
    <border>
      <left style="thin">
        <color rgb="FF002060"/>
      </left>
      <right style="thin">
        <color rgb="FFABBCD5"/>
      </right>
      <top style="thin">
        <color rgb="FF7C808A"/>
      </top>
      <bottom style="thin">
        <color rgb="FFC9C9C9"/>
      </bottom>
      <diagonal/>
    </border>
    <border>
      <left style="thin">
        <color rgb="FFD6DDEE"/>
      </left>
      <right style="thin">
        <color rgb="FF002060"/>
      </right>
      <top style="thin">
        <color rgb="FFD6DDEE"/>
      </top>
      <bottom/>
      <diagonal/>
    </border>
    <border>
      <left style="thin">
        <color rgb="FF002060"/>
      </left>
      <right style="thin">
        <color rgb="FFD6DDEE"/>
      </right>
      <top/>
      <bottom style="thin">
        <color rgb="FFD6DDEE"/>
      </bottom>
      <diagonal/>
    </border>
    <border>
      <left style="thin">
        <color rgb="FF002060"/>
      </left>
      <right/>
      <top style="thin">
        <color rgb="FFD6DDEE"/>
      </top>
      <bottom style="thin">
        <color rgb="FFD6DDEE"/>
      </bottom>
      <diagonal/>
    </border>
    <border>
      <left style="thin">
        <color rgb="FF002060"/>
      </left>
      <right style="thin">
        <color rgb="FFD6DDEE"/>
      </right>
      <top style="thin">
        <color rgb="FFD6DDEE"/>
      </top>
      <bottom/>
      <diagonal/>
    </border>
    <border>
      <left style="thin">
        <color rgb="FF002060"/>
      </left>
      <right style="thin">
        <color rgb="FFD6DDEE"/>
      </right>
      <top style="thin">
        <color rgb="FFD6DDEE"/>
      </top>
      <bottom style="thin">
        <color rgb="FF002060"/>
      </bottom>
      <diagonal/>
    </border>
    <border>
      <left style="thin">
        <color rgb="FFD6DDEE"/>
      </left>
      <right/>
      <top style="thin">
        <color rgb="FFD6DDEE"/>
      </top>
      <bottom style="thin">
        <color rgb="FF002060"/>
      </bottom>
      <diagonal/>
    </border>
    <border>
      <left style="thin">
        <color rgb="FFBFBFBF"/>
      </left>
      <right/>
      <top style="thin">
        <color rgb="FFBFBFBF"/>
      </top>
      <bottom style="thin">
        <color rgb="FF002060"/>
      </bottom>
      <diagonal/>
    </border>
    <border>
      <left/>
      <right style="thin">
        <color rgb="FF002060"/>
      </right>
      <top style="thin">
        <color rgb="FFBFBFBF"/>
      </top>
      <bottom style="thin">
        <color rgb="FF002060"/>
      </bottom>
      <diagonal/>
    </border>
    <border>
      <left style="thin">
        <color rgb="FF002060"/>
      </left>
      <right style="thin">
        <color rgb="FFD6DDEE"/>
      </right>
      <top/>
      <bottom/>
      <diagonal/>
    </border>
    <border>
      <left style="thin">
        <color rgb="FF002060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rgb="FF002060"/>
      </left>
      <right style="thin">
        <color rgb="FFABBCD5"/>
      </right>
      <top style="thin">
        <color rgb="FF7C808A"/>
      </top>
      <bottom/>
      <diagonal/>
    </border>
    <border>
      <left style="thin">
        <color rgb="FF002060"/>
      </left>
      <right/>
      <top style="medium">
        <color theme="4" tint="-0.249977111117893"/>
      </top>
      <bottom/>
      <diagonal/>
    </border>
    <border>
      <left/>
      <right style="thin">
        <color rgb="FF002060"/>
      </right>
      <top style="thin">
        <color rgb="FFD6DDEE"/>
      </top>
      <bottom/>
      <diagonal/>
    </border>
    <border>
      <left style="thin">
        <color rgb="FF002060"/>
      </left>
      <right/>
      <top style="thin">
        <color rgb="FFD6DDEE"/>
      </top>
      <bottom style="thin">
        <color rgb="FF002060"/>
      </bottom>
      <diagonal/>
    </border>
    <border>
      <left/>
      <right/>
      <top style="thin">
        <color rgb="FFBFBFBF"/>
      </top>
      <bottom style="thin">
        <color rgb="FF002060"/>
      </bottom>
      <diagonal/>
    </border>
    <border>
      <left style="thin">
        <color rgb="FF002060"/>
      </left>
      <right style="thin">
        <color rgb="FFC9C9C9"/>
      </right>
      <top style="thin">
        <color rgb="FF7C808A"/>
      </top>
      <bottom style="thin">
        <color rgb="FFC9C9C9"/>
      </bottom>
      <diagonal/>
    </border>
    <border>
      <left style="thin">
        <color rgb="FF002060"/>
      </left>
      <right style="thin">
        <color rgb="FFD6DDEE"/>
      </right>
      <top style="thin">
        <color rgb="FFD6DDEE"/>
      </top>
      <bottom style="thin">
        <color rgb="FFD6DDEE"/>
      </bottom>
      <diagonal/>
    </border>
    <border>
      <left style="thin">
        <color rgb="FF002060"/>
      </left>
      <right style="thin">
        <color rgb="FFD6DDEE"/>
      </right>
      <top style="thin">
        <color rgb="FF7030A0"/>
      </top>
      <bottom style="thin">
        <color rgb="FF002060"/>
      </bottom>
      <diagonal/>
    </border>
    <border>
      <left style="thin">
        <color rgb="FFD6DDEE"/>
      </left>
      <right style="thin">
        <color rgb="FFD6DDEE"/>
      </right>
      <top style="thin">
        <color rgb="FF7030A0"/>
      </top>
      <bottom style="thin">
        <color rgb="FF002060"/>
      </bottom>
      <diagonal/>
    </border>
    <border>
      <left style="thin">
        <color rgb="FFD6DDEE"/>
      </left>
      <right/>
      <top style="thin">
        <color rgb="FF7030A0"/>
      </top>
      <bottom style="thin">
        <color rgb="FF002060"/>
      </bottom>
      <diagonal/>
    </border>
    <border>
      <left style="thin">
        <color rgb="FFBFBFBF"/>
      </left>
      <right style="thin">
        <color rgb="FF002060"/>
      </right>
      <top style="thin">
        <color rgb="FF7030A0"/>
      </top>
      <bottom style="thin">
        <color rgb="FF002060"/>
      </bottom>
      <diagonal/>
    </border>
    <border>
      <left style="thin">
        <color rgb="FF002060"/>
      </left>
      <right style="thin">
        <color rgb="FFABBCD5"/>
      </right>
      <top style="thin">
        <color rgb="FF7030A0"/>
      </top>
      <bottom style="thin">
        <color rgb="FFC9C9C9"/>
      </bottom>
      <diagonal/>
    </border>
    <border>
      <left style="thin">
        <color rgb="FFD6DDEE"/>
      </left>
      <right style="thin">
        <color rgb="FF002060"/>
      </right>
      <top style="thin">
        <color rgb="FF7030A0"/>
      </top>
      <bottom/>
      <diagonal/>
    </border>
    <border>
      <left style="thin">
        <color rgb="FF002060"/>
      </left>
      <right style="thin">
        <color rgb="FFD6DDEE"/>
      </right>
      <top/>
      <bottom style="thin">
        <color rgb="FF7030A0"/>
      </bottom>
      <diagonal/>
    </border>
    <border>
      <left style="thin">
        <color rgb="FFD6DDEE"/>
      </left>
      <right style="thin">
        <color rgb="FF002060"/>
      </right>
      <top style="thin">
        <color rgb="FFD6DDEE"/>
      </top>
      <bottom style="thin">
        <color rgb="FF7030A0"/>
      </bottom>
      <diagonal/>
    </border>
    <border>
      <left style="thin">
        <color rgb="FFD6DDEE"/>
      </left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C9C9C9"/>
      </right>
      <top style="thin">
        <color rgb="FF7C808A"/>
      </top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B050"/>
      </left>
      <right style="thin">
        <color rgb="FFD6DDEE"/>
      </right>
      <top style="thin">
        <color rgb="FF00B050"/>
      </top>
      <bottom style="thin">
        <color rgb="FF002060"/>
      </bottom>
      <diagonal/>
    </border>
    <border>
      <left style="thin">
        <color rgb="FFD6DDEE"/>
      </left>
      <right style="thin">
        <color rgb="FFD6DDEE"/>
      </right>
      <top style="thin">
        <color rgb="FF002060"/>
      </top>
      <bottom style="thin">
        <color rgb="FF002060"/>
      </bottom>
      <diagonal/>
    </border>
    <border>
      <left style="thin">
        <color rgb="FFD6DDEE"/>
      </left>
      <right style="thin">
        <color rgb="FF00B050"/>
      </right>
      <top/>
      <bottom style="thin">
        <color rgb="FF002060"/>
      </bottom>
      <diagonal/>
    </border>
    <border>
      <left style="thin">
        <color rgb="FF002060"/>
      </left>
      <right style="thin">
        <color rgb="FFD6DDEE"/>
      </right>
      <top style="medium">
        <color theme="4" tint="-0.249977111117893"/>
      </top>
      <bottom/>
      <diagonal/>
    </border>
    <border>
      <left/>
      <right style="thin">
        <color rgb="FFD6DDEE"/>
      </right>
      <top style="thin">
        <color rgb="FFD6DDEE"/>
      </top>
      <bottom style="thin">
        <color rgb="FF002060"/>
      </bottom>
      <diagonal/>
    </border>
    <border>
      <left style="thin">
        <color rgb="FFD6DDEE"/>
      </left>
      <right style="thin">
        <color rgb="FF002060"/>
      </right>
      <top style="thin">
        <color rgb="FFD6DDEE"/>
      </top>
      <bottom style="thin">
        <color rgb="FF002060"/>
      </bottom>
      <diagonal/>
    </border>
    <border>
      <left style="thin">
        <color rgb="FF002060"/>
      </left>
      <right style="thin">
        <color rgb="FFD6DDEE"/>
      </right>
      <top style="thin">
        <color rgb="FF7C808A"/>
      </top>
      <bottom style="thin">
        <color rgb="FFD6DDEE"/>
      </bottom>
      <diagonal/>
    </border>
    <border>
      <left style="thin">
        <color rgb="FFBFBFBF"/>
      </left>
      <right/>
      <top style="thin">
        <color rgb="FF7030A0"/>
      </top>
      <bottom style="thin">
        <color rgb="FF002060"/>
      </bottom>
      <diagonal/>
    </border>
    <border>
      <left/>
      <right style="thin">
        <color rgb="FF002060"/>
      </right>
      <top style="thin">
        <color rgb="FF7030A0"/>
      </top>
      <bottom style="thin">
        <color rgb="FF002060"/>
      </bottom>
      <diagonal/>
    </border>
    <border>
      <left style="thin">
        <color rgb="FF002060"/>
      </left>
      <right style="thin">
        <color rgb="FFD6DDEE"/>
      </right>
      <top/>
      <bottom style="thin">
        <color rgb="FF002060"/>
      </bottom>
      <diagonal/>
    </border>
    <border>
      <left style="thin">
        <color rgb="FFD6DDEE"/>
      </left>
      <right style="thin">
        <color rgb="FFD6DDEE"/>
      </right>
      <top/>
      <bottom style="thin">
        <color rgb="FF002060"/>
      </bottom>
      <diagonal/>
    </border>
    <border>
      <left style="thin">
        <color rgb="FFD6DDEE"/>
      </left>
      <right/>
      <top/>
      <bottom style="thin">
        <color rgb="FF00206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6DDEE"/>
      </left>
      <right style="thin">
        <color rgb="FF002060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dotted">
        <color theme="1"/>
      </left>
      <right/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 style="dotted">
        <color theme="1"/>
      </right>
      <top style="dotted">
        <color theme="1"/>
      </top>
      <bottom style="dotted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Dashed">
        <color rgb="FFFF7C80"/>
      </top>
      <bottom style="mediumDashed">
        <color rgb="FFFF7C80"/>
      </bottom>
      <diagonal/>
    </border>
    <border>
      <left/>
      <right/>
      <top style="mediumDashed">
        <color rgb="FFFF7C80"/>
      </top>
      <bottom/>
      <diagonal/>
    </border>
    <border>
      <left/>
      <right style="mediumDashed">
        <color rgb="FFFF7C80"/>
      </right>
      <top style="mediumDashed">
        <color rgb="FFFF7C80"/>
      </top>
      <bottom/>
      <diagonal/>
    </border>
    <border>
      <left/>
      <right/>
      <top/>
      <bottom style="mediumDashed">
        <color rgb="FFFF7C80"/>
      </bottom>
      <diagonal/>
    </border>
    <border>
      <left/>
      <right style="mediumDashed">
        <color rgb="FFFF7C80"/>
      </right>
      <top/>
      <bottom style="mediumDashed">
        <color rgb="FFFF7C80"/>
      </bottom>
      <diagonal/>
    </border>
    <border>
      <left style="medium">
        <color theme="1"/>
      </left>
      <right/>
      <top style="mediumDashed">
        <color rgb="FFFF7C80"/>
      </top>
      <bottom/>
      <diagonal/>
    </border>
    <border>
      <left style="medium">
        <color theme="1"/>
      </left>
      <right/>
      <top/>
      <bottom style="mediumDashed">
        <color rgb="FFFF7C80"/>
      </bottom>
      <diagonal/>
    </border>
    <border>
      <left style="medium">
        <color theme="1"/>
      </left>
      <right/>
      <top style="mediumDashed">
        <color rgb="FFFF7C80"/>
      </top>
      <bottom style="mediumDashed">
        <color rgb="FFFF7C8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rgb="FFFF7C80"/>
      </left>
      <right/>
      <top style="mediumDashed">
        <color rgb="FFFF7C80"/>
      </top>
      <bottom style="mediumDashed">
        <color rgb="FFFF7C80"/>
      </bottom>
      <diagonal/>
    </border>
    <border>
      <left/>
      <right style="mediumDashed">
        <color rgb="FFFF7C80"/>
      </right>
      <top style="mediumDashed">
        <color rgb="FFFF7C80"/>
      </top>
      <bottom style="mediumDashed">
        <color rgb="FFFF7C80"/>
      </bottom>
      <diagonal/>
    </border>
    <border>
      <left style="medium">
        <color theme="1" tint="4.9989318521683403E-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dotted">
        <color theme="1"/>
      </top>
      <bottom style="dotted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rgb="FFFF7C80"/>
      </top>
      <bottom/>
      <diagonal/>
    </border>
    <border>
      <left style="medium">
        <color indexed="64"/>
      </left>
      <right/>
      <top/>
      <bottom style="mediumDashed">
        <color rgb="FFFF7C80"/>
      </bottom>
      <diagonal/>
    </border>
    <border>
      <left style="medium">
        <color indexed="64"/>
      </left>
      <right/>
      <top style="mediumDashed">
        <color rgb="FFFF7C80"/>
      </top>
      <bottom style="mediumDashed">
        <color rgb="FFFF7C80"/>
      </bottom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/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9" fontId="6" fillId="2" borderId="0" applyBorder="0" applyProtection="0">
      <alignment horizontal="left" vertical="top" wrapText="1"/>
    </xf>
    <xf numFmtId="0" fontId="11" fillId="0" borderId="0" applyNumberFormat="0" applyFill="0" applyBorder="0" applyAlignment="0" applyProtection="0"/>
  </cellStyleXfs>
  <cellXfs count="433">
    <xf numFmtId="0" fontId="0" fillId="0" borderId="0" xfId="0"/>
    <xf numFmtId="49" fontId="7" fillId="2" borderId="1" xfId="3" applyFont="1" applyBorder="1" applyAlignment="1">
      <alignment horizontal="left" vertical="center" wrapText="1"/>
    </xf>
    <xf numFmtId="166" fontId="8" fillId="3" borderId="3" xfId="1" applyNumberFormat="1" applyFont="1" applyFill="1" applyBorder="1" applyAlignment="1">
      <alignment horizontal="center" vertical="center" wrapText="1"/>
    </xf>
    <xf numFmtId="49" fontId="7" fillId="2" borderId="4" xfId="3" applyFont="1" applyBorder="1" applyAlignment="1">
      <alignment horizontal="left" vertical="center" wrapText="1"/>
    </xf>
    <xf numFmtId="166" fontId="8" fillId="3" borderId="6" xfId="2" applyNumberFormat="1" applyFont="1" applyFill="1" applyBorder="1" applyAlignment="1">
      <alignment horizontal="center" vertical="center" wrapText="1"/>
    </xf>
    <xf numFmtId="166" fontId="8" fillId="3" borderId="7" xfId="2" applyNumberFormat="1" applyFont="1" applyFill="1" applyBorder="1" applyAlignment="1">
      <alignment horizontal="center" vertical="center" wrapText="1"/>
    </xf>
    <xf numFmtId="0" fontId="1" fillId="0" borderId="0" xfId="1"/>
    <xf numFmtId="0" fontId="1" fillId="0" borderId="0" xfId="2"/>
    <xf numFmtId="166" fontId="10" fillId="4" borderId="2" xfId="1" applyNumberFormat="1" applyFont="1" applyFill="1" applyBorder="1" applyAlignment="1">
      <alignment horizontal="center" vertical="center" wrapText="1"/>
    </xf>
    <xf numFmtId="166" fontId="10" fillId="4" borderId="6" xfId="2" applyNumberFormat="1" applyFont="1" applyFill="1" applyBorder="1" applyAlignment="1">
      <alignment horizontal="center" vertical="center" wrapText="1"/>
    </xf>
    <xf numFmtId="166" fontId="10" fillId="4" borderId="2" xfId="2" applyNumberFormat="1" applyFont="1" applyFill="1" applyBorder="1" applyAlignment="1">
      <alignment horizontal="center" vertical="center" wrapText="1"/>
    </xf>
    <xf numFmtId="166" fontId="10" fillId="4" borderId="7" xfId="2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4" applyFont="1" applyAlignment="1">
      <alignment horizontal="righ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7" fillId="5" borderId="0" xfId="0" applyFont="1" applyFill="1" applyAlignment="1">
      <alignment vertical="center" wrapText="1"/>
    </xf>
    <xf numFmtId="166" fontId="8" fillId="0" borderId="2" xfId="2" applyNumberFormat="1" applyFont="1" applyBorder="1" applyAlignment="1">
      <alignment horizontal="center" vertical="center" wrapText="1"/>
    </xf>
    <xf numFmtId="166" fontId="8" fillId="0" borderId="5" xfId="2" applyNumberFormat="1" applyFont="1" applyBorder="1" applyAlignment="1">
      <alignment horizontal="center" vertical="center" wrapText="1"/>
    </xf>
    <xf numFmtId="166" fontId="8" fillId="0" borderId="6" xfId="2" applyNumberFormat="1" applyFont="1" applyBorder="1" applyAlignment="1">
      <alignment horizontal="center" vertical="center" wrapText="1"/>
    </xf>
    <xf numFmtId="166" fontId="8" fillId="0" borderId="7" xfId="2" applyNumberFormat="1" applyFont="1" applyBorder="1" applyAlignment="1">
      <alignment horizontal="center" vertical="center" wrapText="1"/>
    </xf>
    <xf numFmtId="166" fontId="8" fillId="7" borderId="5" xfId="1" applyNumberFormat="1" applyFont="1" applyFill="1" applyBorder="1" applyAlignment="1">
      <alignment horizontal="center" vertical="center" wrapText="1"/>
    </xf>
    <xf numFmtId="166" fontId="8" fillId="7" borderId="6" xfId="1" applyNumberFormat="1" applyFont="1" applyFill="1" applyBorder="1" applyAlignment="1">
      <alignment horizontal="center" vertical="center" wrapText="1"/>
    </xf>
    <xf numFmtId="166" fontId="8" fillId="7" borderId="7" xfId="1" applyNumberFormat="1" applyFont="1" applyFill="1" applyBorder="1" applyAlignment="1">
      <alignment horizontal="center" vertical="center" wrapText="1"/>
    </xf>
    <xf numFmtId="166" fontId="8" fillId="7" borderId="5" xfId="2" applyNumberFormat="1" applyFont="1" applyFill="1" applyBorder="1" applyAlignment="1">
      <alignment horizontal="center" vertical="center" wrapText="1"/>
    </xf>
    <xf numFmtId="166" fontId="8" fillId="7" borderId="6" xfId="2" applyNumberFormat="1" applyFont="1" applyFill="1" applyBorder="1" applyAlignment="1">
      <alignment horizontal="center" vertical="center" wrapText="1"/>
    </xf>
    <xf numFmtId="166" fontId="8" fillId="7" borderId="7" xfId="2" applyNumberFormat="1" applyFont="1" applyFill="1" applyBorder="1" applyAlignment="1">
      <alignment horizontal="center" vertical="center" wrapText="1"/>
    </xf>
    <xf numFmtId="166" fontId="8" fillId="7" borderId="2" xfId="2" applyNumberFormat="1" applyFont="1" applyFill="1" applyBorder="1" applyAlignment="1">
      <alignment horizontal="center" vertical="center" wrapText="1"/>
    </xf>
    <xf numFmtId="166" fontId="8" fillId="7" borderId="3" xfId="2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7" fillId="2" borderId="23" xfId="3" applyFont="1" applyBorder="1" applyAlignment="1">
      <alignment horizontal="left" vertical="center" wrapText="1"/>
    </xf>
    <xf numFmtId="49" fontId="7" fillId="2" borderId="24" xfId="3" applyFont="1" applyBorder="1" applyAlignment="1">
      <alignment horizontal="left" vertical="center" wrapText="1"/>
    </xf>
    <xf numFmtId="166" fontId="8" fillId="0" borderId="25" xfId="2" applyNumberFormat="1" applyFont="1" applyBorder="1" applyAlignment="1">
      <alignment horizontal="center" vertical="center" wrapText="1"/>
    </xf>
    <xf numFmtId="166" fontId="8" fillId="8" borderId="26" xfId="2" applyNumberFormat="1" applyFont="1" applyFill="1" applyBorder="1" applyAlignment="1">
      <alignment horizontal="center" vertical="center" wrapText="1"/>
    </xf>
    <xf numFmtId="166" fontId="8" fillId="8" borderId="27" xfId="2" applyNumberFormat="1" applyFont="1" applyFill="1" applyBorder="1" applyAlignment="1">
      <alignment horizontal="center" vertical="center" wrapText="1"/>
    </xf>
    <xf numFmtId="166" fontId="8" fillId="3" borderId="25" xfId="2" applyNumberFormat="1" applyFont="1" applyFill="1" applyBorder="1" applyAlignment="1">
      <alignment horizontal="center" vertical="center" wrapText="1"/>
    </xf>
    <xf numFmtId="166" fontId="8" fillId="0" borderId="28" xfId="2" applyNumberFormat="1" applyFont="1" applyBorder="1" applyAlignment="1">
      <alignment horizontal="center" vertical="center" wrapText="1"/>
    </xf>
    <xf numFmtId="166" fontId="10" fillId="4" borderId="5" xfId="2" applyNumberFormat="1" applyFont="1" applyFill="1" applyBorder="1" applyAlignment="1">
      <alignment horizontal="center" vertical="center" wrapText="1"/>
    </xf>
    <xf numFmtId="166" fontId="8" fillId="8" borderId="9" xfId="2" applyNumberFormat="1" applyFont="1" applyFill="1" applyBorder="1" applyAlignment="1">
      <alignment horizontal="center" vertical="center" wrapText="1"/>
    </xf>
    <xf numFmtId="166" fontId="8" fillId="8" borderId="10" xfId="2" applyNumberFormat="1" applyFont="1" applyFill="1" applyBorder="1" applyAlignment="1">
      <alignment horizontal="center" vertical="center" wrapText="1"/>
    </xf>
    <xf numFmtId="166" fontId="8" fillId="7" borderId="29" xfId="2" applyNumberFormat="1" applyFont="1" applyFill="1" applyBorder="1" applyAlignment="1">
      <alignment horizontal="center" vertical="center" wrapText="1"/>
    </xf>
    <xf numFmtId="166" fontId="8" fillId="11" borderId="5" xfId="2" applyNumberFormat="1" applyFont="1" applyFill="1" applyBorder="1" applyAlignment="1">
      <alignment horizontal="center" vertical="center" wrapText="1"/>
    </xf>
    <xf numFmtId="166" fontId="8" fillId="7" borderId="31" xfId="1" applyNumberFormat="1" applyFont="1" applyFill="1" applyBorder="1" applyAlignment="1">
      <alignment horizontal="center" vertical="center" wrapText="1"/>
    </xf>
    <xf numFmtId="166" fontId="8" fillId="7" borderId="29" xfId="1" applyNumberFormat="1" applyFont="1" applyFill="1" applyBorder="1" applyAlignment="1">
      <alignment horizontal="center" vertical="center" wrapText="1"/>
    </xf>
    <xf numFmtId="166" fontId="8" fillId="3" borderId="31" xfId="2" applyNumberFormat="1" applyFont="1" applyFill="1" applyBorder="1" applyAlignment="1">
      <alignment horizontal="center" vertical="center" wrapText="1"/>
    </xf>
    <xf numFmtId="166" fontId="8" fillId="7" borderId="25" xfId="2" applyNumberFormat="1" applyFont="1" applyFill="1" applyBorder="1" applyAlignment="1">
      <alignment horizontal="center" vertical="center" wrapText="1"/>
    </xf>
    <xf numFmtId="166" fontId="8" fillId="7" borderId="28" xfId="2" applyNumberFormat="1" applyFont="1" applyFill="1" applyBorder="1" applyAlignment="1">
      <alignment horizontal="center" vertical="center" wrapText="1"/>
    </xf>
    <xf numFmtId="166" fontId="8" fillId="3" borderId="32" xfId="2" applyNumberFormat="1" applyFont="1" applyFill="1" applyBorder="1" applyAlignment="1">
      <alignment horizontal="center" vertical="center" wrapText="1"/>
    </xf>
    <xf numFmtId="166" fontId="8" fillId="0" borderId="29" xfId="2" applyNumberFormat="1" applyFont="1" applyBorder="1" applyAlignment="1">
      <alignment horizontal="center" vertical="center" wrapText="1"/>
    </xf>
    <xf numFmtId="0" fontId="24" fillId="0" borderId="0" xfId="0" applyFont="1"/>
    <xf numFmtId="0" fontId="27" fillId="0" borderId="0" xfId="0" applyFont="1"/>
    <xf numFmtId="0" fontId="28" fillId="0" borderId="0" xfId="0" applyFont="1"/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5" borderId="0" xfId="0" applyFont="1" applyFill="1"/>
    <xf numFmtId="0" fontId="31" fillId="5" borderId="0" xfId="0" applyFont="1" applyFill="1"/>
    <xf numFmtId="0" fontId="28" fillId="5" borderId="0" xfId="0" applyFont="1" applyFill="1" applyAlignment="1">
      <alignment horizontal="center"/>
    </xf>
    <xf numFmtId="165" fontId="23" fillId="13" borderId="57" xfId="1" quotePrefix="1" applyNumberFormat="1" applyFont="1" applyFill="1" applyBorder="1" applyAlignment="1">
      <alignment horizontal="center" shrinkToFit="1"/>
    </xf>
    <xf numFmtId="165" fontId="4" fillId="13" borderId="57" xfId="2" quotePrefix="1" applyNumberFormat="1" applyFont="1" applyFill="1" applyBorder="1" applyAlignment="1">
      <alignment horizontal="center" shrinkToFit="1"/>
    </xf>
    <xf numFmtId="165" fontId="4" fillId="13" borderId="57" xfId="1" quotePrefix="1" applyNumberFormat="1" applyFont="1" applyFill="1" applyBorder="1" applyAlignment="1">
      <alignment horizontal="center" shrinkToFit="1"/>
    </xf>
    <xf numFmtId="166" fontId="8" fillId="10" borderId="58" xfId="1" applyNumberFormat="1" applyFont="1" applyFill="1" applyBorder="1" applyAlignment="1">
      <alignment horizontal="center" vertical="center" wrapText="1"/>
    </xf>
    <xf numFmtId="166" fontId="8" fillId="10" borderId="59" xfId="1" applyNumberFormat="1" applyFont="1" applyFill="1" applyBorder="1" applyAlignment="1">
      <alignment horizontal="center" vertical="center" wrapText="1"/>
    </xf>
    <xf numFmtId="166" fontId="8" fillId="10" borderId="60" xfId="1" applyNumberFormat="1" applyFont="1" applyFill="1" applyBorder="1" applyAlignment="1">
      <alignment horizontal="center" vertical="center" wrapText="1"/>
    </xf>
    <xf numFmtId="166" fontId="10" fillId="4" borderId="30" xfId="2" applyNumberFormat="1" applyFont="1" applyFill="1" applyBorder="1" applyAlignment="1">
      <alignment horizontal="center" vertical="center" wrapText="1"/>
    </xf>
    <xf numFmtId="166" fontId="8" fillId="0" borderId="61" xfId="2" applyNumberFormat="1" applyFont="1" applyBorder="1" applyAlignment="1">
      <alignment horizontal="center" vertical="center" wrapText="1"/>
    </xf>
    <xf numFmtId="166" fontId="8" fillId="15" borderId="63" xfId="2" applyNumberFormat="1" applyFont="1" applyFill="1" applyBorder="1" applyAlignment="1">
      <alignment horizontal="center" vertical="center" wrapText="1"/>
    </xf>
    <xf numFmtId="166" fontId="8" fillId="7" borderId="62" xfId="2" applyNumberFormat="1" applyFont="1" applyFill="1" applyBorder="1" applyAlignment="1">
      <alignment horizontal="center" vertical="center" wrapText="1"/>
    </xf>
    <xf numFmtId="49" fontId="7" fillId="2" borderId="64" xfId="3" applyFont="1" applyBorder="1" applyAlignment="1">
      <alignment horizontal="left" vertical="center" wrapText="1"/>
    </xf>
    <xf numFmtId="166" fontId="10" fillId="11" borderId="65" xfId="2" applyNumberFormat="1" applyFont="1" applyFill="1" applyBorder="1" applyAlignment="1">
      <alignment horizontal="center" vertical="center" wrapText="1"/>
    </xf>
    <xf numFmtId="166" fontId="8" fillId="11" borderId="66" xfId="2" applyNumberFormat="1" applyFont="1" applyFill="1" applyBorder="1" applyAlignment="1">
      <alignment horizontal="center" vertical="center" wrapText="1"/>
    </xf>
    <xf numFmtId="166" fontId="8" fillId="7" borderId="67" xfId="2" applyNumberFormat="1" applyFont="1" applyFill="1" applyBorder="1" applyAlignment="1">
      <alignment horizontal="center" vertical="center" wrapText="1"/>
    </xf>
    <xf numFmtId="166" fontId="8" fillId="7" borderId="68" xfId="2" applyNumberFormat="1" applyFont="1" applyFill="1" applyBorder="1" applyAlignment="1">
      <alignment horizontal="center" vertical="center" wrapText="1"/>
    </xf>
    <xf numFmtId="166" fontId="8" fillId="6" borderId="5" xfId="2" applyNumberFormat="1" applyFont="1" applyFill="1" applyBorder="1" applyAlignment="1">
      <alignment horizontal="center" vertical="center" wrapText="1"/>
    </xf>
    <xf numFmtId="166" fontId="8" fillId="7" borderId="69" xfId="2" applyNumberFormat="1" applyFont="1" applyFill="1" applyBorder="1" applyAlignment="1">
      <alignment horizontal="center" vertical="center" wrapText="1"/>
    </xf>
    <xf numFmtId="166" fontId="8" fillId="3" borderId="67" xfId="2" applyNumberFormat="1" applyFont="1" applyFill="1" applyBorder="1" applyAlignment="1">
      <alignment horizontal="center" vertical="center" wrapText="1"/>
    </xf>
    <xf numFmtId="166" fontId="10" fillId="4" borderId="70" xfId="2" applyNumberFormat="1" applyFont="1" applyFill="1" applyBorder="1" applyAlignment="1">
      <alignment horizontal="center" vertical="center" wrapText="1"/>
    </xf>
    <xf numFmtId="166" fontId="8" fillId="15" borderId="67" xfId="2" applyNumberFormat="1" applyFont="1" applyFill="1" applyBorder="1" applyAlignment="1">
      <alignment horizontal="center" vertical="center" wrapText="1"/>
    </xf>
    <xf numFmtId="166" fontId="8" fillId="7" borderId="71" xfId="2" applyNumberFormat="1" applyFont="1" applyFill="1" applyBorder="1" applyAlignment="1">
      <alignment horizontal="center" vertical="center" wrapText="1"/>
    </xf>
    <xf numFmtId="166" fontId="8" fillId="7" borderId="30" xfId="2" applyNumberFormat="1" applyFont="1" applyFill="1" applyBorder="1" applyAlignment="1">
      <alignment horizontal="center" vertical="center" wrapText="1"/>
    </xf>
    <xf numFmtId="49" fontId="7" fillId="2" borderId="72" xfId="3" applyFont="1" applyBorder="1" applyAlignment="1">
      <alignment horizontal="left" vertical="center" wrapText="1"/>
    </xf>
    <xf numFmtId="166" fontId="8" fillId="7" borderId="73" xfId="2" applyNumberFormat="1" applyFont="1" applyFill="1" applyBorder="1" applyAlignment="1">
      <alignment horizontal="center" vertical="center" wrapText="1"/>
    </xf>
    <xf numFmtId="166" fontId="8" fillId="7" borderId="31" xfId="2" applyNumberFormat="1" applyFont="1" applyFill="1" applyBorder="1" applyAlignment="1">
      <alignment horizontal="center" vertical="center" wrapText="1"/>
    </xf>
    <xf numFmtId="164" fontId="20" fillId="0" borderId="74" xfId="1" applyNumberFormat="1" applyFont="1" applyBorder="1" applyAlignment="1">
      <alignment horizontal="centerContinuous" vertical="center"/>
    </xf>
    <xf numFmtId="0" fontId="21" fillId="0" borderId="75" xfId="1" applyFont="1" applyBorder="1" applyAlignment="1">
      <alignment horizontal="centerContinuous"/>
    </xf>
    <xf numFmtId="0" fontId="21" fillId="0" borderId="76" xfId="1" applyFont="1" applyBorder="1" applyAlignment="1">
      <alignment horizontal="centerContinuous"/>
    </xf>
    <xf numFmtId="165" fontId="23" fillId="13" borderId="77" xfId="1" quotePrefix="1" applyNumberFormat="1" applyFont="1" applyFill="1" applyBorder="1" applyAlignment="1">
      <alignment horizontal="center" shrinkToFit="1"/>
    </xf>
    <xf numFmtId="165" fontId="23" fillId="13" borderId="78" xfId="1" quotePrefix="1" applyNumberFormat="1" applyFont="1" applyFill="1" applyBorder="1" applyAlignment="1">
      <alignment horizontal="center" shrinkToFit="1"/>
    </xf>
    <xf numFmtId="49" fontId="7" fillId="2" borderId="79" xfId="3" applyFont="1" applyBorder="1" applyAlignment="1">
      <alignment horizontal="left" vertical="center" wrapText="1"/>
    </xf>
    <xf numFmtId="166" fontId="10" fillId="4" borderId="80" xfId="2" applyNumberFormat="1" applyFont="1" applyFill="1" applyBorder="1" applyAlignment="1">
      <alignment horizontal="center" vertical="center" wrapText="1"/>
    </xf>
    <xf numFmtId="166" fontId="8" fillId="7" borderId="81" xfId="1" applyNumberFormat="1" applyFont="1" applyFill="1" applyBorder="1" applyAlignment="1">
      <alignment horizontal="center" vertical="center" wrapText="1"/>
    </xf>
    <xf numFmtId="166" fontId="8" fillId="7" borderId="82" xfId="1" applyNumberFormat="1" applyFont="1" applyFill="1" applyBorder="1" applyAlignment="1">
      <alignment horizontal="center" vertical="center" wrapText="1"/>
    </xf>
    <xf numFmtId="166" fontId="8" fillId="7" borderId="83" xfId="1" applyNumberFormat="1" applyFont="1" applyFill="1" applyBorder="1" applyAlignment="1">
      <alignment horizontal="center" vertical="center" wrapText="1"/>
    </xf>
    <xf numFmtId="166" fontId="8" fillId="7" borderId="84" xfId="1" applyNumberFormat="1" applyFont="1" applyFill="1" applyBorder="1" applyAlignment="1">
      <alignment horizontal="center" vertical="center" wrapText="1"/>
    </xf>
    <xf numFmtId="166" fontId="8" fillId="7" borderId="70" xfId="1" applyNumberFormat="1" applyFont="1" applyFill="1" applyBorder="1" applyAlignment="1">
      <alignment horizontal="center" vertical="center" wrapText="1"/>
    </xf>
    <xf numFmtId="166" fontId="8" fillId="7" borderId="85" xfId="1" applyNumberFormat="1" applyFont="1" applyFill="1" applyBorder="1" applyAlignment="1">
      <alignment horizontal="center" vertical="center" wrapText="1"/>
    </xf>
    <xf numFmtId="49" fontId="7" fillId="2" borderId="86" xfId="3" applyFont="1" applyBorder="1" applyAlignment="1">
      <alignment horizontal="left" vertical="center" wrapText="1"/>
    </xf>
    <xf numFmtId="49" fontId="7" fillId="2" borderId="87" xfId="3" applyFont="1" applyBorder="1" applyAlignment="1">
      <alignment horizontal="left" vertical="center" wrapText="1"/>
    </xf>
    <xf numFmtId="164" fontId="2" fillId="5" borderId="74" xfId="2" applyNumberFormat="1" applyFont="1" applyFill="1" applyBorder="1" applyAlignment="1">
      <alignment horizontal="centerContinuous" vertical="center"/>
    </xf>
    <xf numFmtId="0" fontId="3" fillId="5" borderId="75" xfId="2" applyFont="1" applyFill="1" applyBorder="1" applyAlignment="1">
      <alignment horizontal="centerContinuous"/>
    </xf>
    <xf numFmtId="0" fontId="3" fillId="5" borderId="76" xfId="2" applyFont="1" applyFill="1" applyBorder="1" applyAlignment="1">
      <alignment horizontal="centerContinuous"/>
    </xf>
    <xf numFmtId="165" fontId="4" fillId="13" borderId="77" xfId="2" quotePrefix="1" applyNumberFormat="1" applyFont="1" applyFill="1" applyBorder="1" applyAlignment="1">
      <alignment horizontal="center" shrinkToFit="1"/>
    </xf>
    <xf numFmtId="165" fontId="5" fillId="13" borderId="78" xfId="2" quotePrefix="1" applyNumberFormat="1" applyFont="1" applyFill="1" applyBorder="1" applyAlignment="1">
      <alignment horizontal="center" shrinkToFit="1"/>
    </xf>
    <xf numFmtId="166" fontId="8" fillId="7" borderId="88" xfId="2" applyNumberFormat="1" applyFont="1" applyFill="1" applyBorder="1" applyAlignment="1">
      <alignment horizontal="center" vertical="center" wrapText="1"/>
    </xf>
    <xf numFmtId="166" fontId="8" fillId="15" borderId="89" xfId="2" applyNumberFormat="1" applyFont="1" applyFill="1" applyBorder="1" applyAlignment="1">
      <alignment horizontal="center" vertical="center" wrapText="1"/>
    </xf>
    <xf numFmtId="166" fontId="8" fillId="3" borderId="88" xfId="2" applyNumberFormat="1" applyFont="1" applyFill="1" applyBorder="1" applyAlignment="1">
      <alignment horizontal="center" vertical="center" wrapText="1"/>
    </xf>
    <xf numFmtId="166" fontId="8" fillId="3" borderId="84" xfId="2" applyNumberFormat="1" applyFont="1" applyFill="1" applyBorder="1" applyAlignment="1">
      <alignment horizontal="center" vertical="center" wrapText="1"/>
    </xf>
    <xf numFmtId="166" fontId="8" fillId="3" borderId="70" xfId="2" applyNumberFormat="1" applyFont="1" applyFill="1" applyBorder="1" applyAlignment="1">
      <alignment horizontal="center" vertical="center" wrapText="1"/>
    </xf>
    <xf numFmtId="166" fontId="8" fillId="3" borderId="85" xfId="2" applyNumberFormat="1" applyFont="1" applyFill="1" applyBorder="1" applyAlignment="1">
      <alignment horizontal="center" vertical="center" wrapText="1"/>
    </xf>
    <xf numFmtId="49" fontId="7" fillId="2" borderId="90" xfId="3" applyFont="1" applyBorder="1" applyAlignment="1">
      <alignment horizontal="left" vertical="center" wrapText="1"/>
    </xf>
    <xf numFmtId="166" fontId="8" fillId="8" borderId="91" xfId="2" applyNumberFormat="1" applyFont="1" applyFill="1" applyBorder="1" applyAlignment="1">
      <alignment horizontal="center" vertical="center" wrapText="1"/>
    </xf>
    <xf numFmtId="166" fontId="10" fillId="4" borderId="92" xfId="2" applyNumberFormat="1" applyFont="1" applyFill="1" applyBorder="1" applyAlignment="1">
      <alignment horizontal="center" vertical="center" wrapText="1"/>
    </xf>
    <xf numFmtId="166" fontId="8" fillId="7" borderId="81" xfId="2" applyNumberFormat="1" applyFont="1" applyFill="1" applyBorder="1" applyAlignment="1">
      <alignment horizontal="center" vertical="center" wrapText="1"/>
    </xf>
    <xf numFmtId="166" fontId="8" fillId="7" borderId="83" xfId="2" applyNumberFormat="1" applyFont="1" applyFill="1" applyBorder="1" applyAlignment="1">
      <alignment horizontal="center" vertical="center" wrapText="1"/>
    </xf>
    <xf numFmtId="166" fontId="8" fillId="7" borderId="93" xfId="2" applyNumberFormat="1" applyFont="1" applyFill="1" applyBorder="1" applyAlignment="1">
      <alignment horizontal="center" vertical="center" wrapText="1"/>
    </xf>
    <xf numFmtId="49" fontId="7" fillId="2" borderId="94" xfId="3" applyFont="1" applyBorder="1" applyAlignment="1">
      <alignment horizontal="left" vertical="center" wrapText="1"/>
    </xf>
    <xf numFmtId="49" fontId="7" fillId="2" borderId="95" xfId="3" applyFont="1" applyBorder="1" applyAlignment="1">
      <alignment horizontal="left" vertical="center" wrapText="1"/>
    </xf>
    <xf numFmtId="166" fontId="8" fillId="7" borderId="96" xfId="2" applyNumberFormat="1" applyFont="1" applyFill="1" applyBorder="1" applyAlignment="1">
      <alignment horizontal="center" vertical="center" wrapText="1"/>
    </xf>
    <xf numFmtId="166" fontId="8" fillId="7" borderId="84" xfId="2" applyNumberFormat="1" applyFont="1" applyFill="1" applyBorder="1" applyAlignment="1">
      <alignment horizontal="center" vertical="center" wrapText="1"/>
    </xf>
    <xf numFmtId="166" fontId="8" fillId="7" borderId="70" xfId="2" applyNumberFormat="1" applyFont="1" applyFill="1" applyBorder="1" applyAlignment="1">
      <alignment horizontal="center" vertical="center" wrapText="1"/>
    </xf>
    <xf numFmtId="166" fontId="8" fillId="7" borderId="85" xfId="2" applyNumberFormat="1" applyFont="1" applyFill="1" applyBorder="1" applyAlignment="1">
      <alignment horizontal="center" vertical="center" wrapText="1"/>
    </xf>
    <xf numFmtId="166" fontId="8" fillId="11" borderId="97" xfId="2" applyNumberFormat="1" applyFont="1" applyFill="1" applyBorder="1" applyAlignment="1">
      <alignment horizontal="center" vertical="center" wrapText="1"/>
    </xf>
    <xf numFmtId="166" fontId="8" fillId="11" borderId="98" xfId="2" applyNumberFormat="1" applyFont="1" applyFill="1" applyBorder="1" applyAlignment="1">
      <alignment horizontal="center" vertical="center" wrapText="1"/>
    </xf>
    <xf numFmtId="166" fontId="8" fillId="11" borderId="99" xfId="2" applyNumberFormat="1" applyFont="1" applyFill="1" applyBorder="1" applyAlignment="1">
      <alignment horizontal="center" vertical="center" wrapText="1"/>
    </xf>
    <xf numFmtId="49" fontId="7" fillId="2" borderId="100" xfId="3" applyFont="1" applyBorder="1" applyAlignment="1">
      <alignment horizontal="left" vertical="center" wrapText="1"/>
    </xf>
    <xf numFmtId="49" fontId="7" fillId="2" borderId="101" xfId="3" applyFont="1" applyBorder="1" applyAlignment="1">
      <alignment horizontal="left" vertical="center" wrapText="1"/>
    </xf>
    <xf numFmtId="166" fontId="10" fillId="11" borderId="102" xfId="2" applyNumberFormat="1" applyFont="1" applyFill="1" applyBorder="1" applyAlignment="1">
      <alignment horizontal="center" vertical="center" wrapText="1"/>
    </xf>
    <xf numFmtId="166" fontId="8" fillId="11" borderId="81" xfId="2" applyNumberFormat="1" applyFont="1" applyFill="1" applyBorder="1" applyAlignment="1">
      <alignment horizontal="center" vertical="center" wrapText="1"/>
    </xf>
    <xf numFmtId="166" fontId="10" fillId="11" borderId="80" xfId="2" applyNumberFormat="1" applyFont="1" applyFill="1" applyBorder="1" applyAlignment="1">
      <alignment horizontal="center" vertical="center" wrapText="1"/>
    </xf>
    <xf numFmtId="166" fontId="8" fillId="11" borderId="103" xfId="2" applyNumberFormat="1" applyFont="1" applyFill="1" applyBorder="1" applyAlignment="1">
      <alignment horizontal="center" vertical="center" wrapText="1"/>
    </xf>
    <xf numFmtId="166" fontId="10" fillId="11" borderId="104" xfId="2" applyNumberFormat="1" applyFont="1" applyFill="1" applyBorder="1" applyAlignment="1">
      <alignment horizontal="center" vertical="center" wrapText="1"/>
    </xf>
    <xf numFmtId="166" fontId="10" fillId="4" borderId="105" xfId="2" applyNumberFormat="1" applyFont="1" applyFill="1" applyBorder="1" applyAlignment="1">
      <alignment horizontal="center" vertical="center" wrapText="1"/>
    </xf>
    <xf numFmtId="49" fontId="7" fillId="2" borderId="106" xfId="3" applyFont="1" applyBorder="1" applyAlignment="1">
      <alignment horizontal="left" vertical="center" wrapText="1"/>
    </xf>
    <xf numFmtId="49" fontId="7" fillId="2" borderId="107" xfId="3" applyFont="1" applyBorder="1" applyAlignment="1">
      <alignment horizontal="left" vertical="center" wrapText="1"/>
    </xf>
    <xf numFmtId="166" fontId="8" fillId="3" borderId="108" xfId="2" applyNumberFormat="1" applyFont="1" applyFill="1" applyBorder="1" applyAlignment="1">
      <alignment horizontal="center" vertical="center" wrapText="1"/>
    </xf>
    <xf numFmtId="166" fontId="8" fillId="10" borderId="109" xfId="1" applyNumberFormat="1" applyFont="1" applyFill="1" applyBorder="1" applyAlignment="1">
      <alignment horizontal="center" vertical="center" wrapText="1"/>
    </xf>
    <xf numFmtId="166" fontId="8" fillId="10" borderId="110" xfId="1" applyNumberFormat="1" applyFont="1" applyFill="1" applyBorder="1" applyAlignment="1">
      <alignment horizontal="center" vertical="center" wrapText="1"/>
    </xf>
    <xf numFmtId="166" fontId="8" fillId="10" borderId="111" xfId="1" applyNumberFormat="1" applyFont="1" applyFill="1" applyBorder="1" applyAlignment="1">
      <alignment horizontal="center" vertical="center" wrapText="1"/>
    </xf>
    <xf numFmtId="166" fontId="8" fillId="8" borderId="112" xfId="2" applyNumberFormat="1" applyFont="1" applyFill="1" applyBorder="1" applyAlignment="1">
      <alignment horizontal="center" vertical="center" wrapText="1"/>
    </xf>
    <xf numFmtId="166" fontId="8" fillId="7" borderId="113" xfId="2" applyNumberFormat="1" applyFont="1" applyFill="1" applyBorder="1" applyAlignment="1">
      <alignment horizontal="center" vertical="center" wrapText="1"/>
    </xf>
    <xf numFmtId="166" fontId="10" fillId="4" borderId="114" xfId="2" applyNumberFormat="1" applyFont="1" applyFill="1" applyBorder="1" applyAlignment="1">
      <alignment horizontal="center" vertical="center" wrapText="1"/>
    </xf>
    <xf numFmtId="166" fontId="8" fillId="7" borderId="115" xfId="2" applyNumberFormat="1" applyFont="1" applyFill="1" applyBorder="1" applyAlignment="1">
      <alignment horizontal="center" vertical="center" wrapText="1"/>
    </xf>
    <xf numFmtId="166" fontId="10" fillId="11" borderId="99" xfId="2" applyNumberFormat="1" applyFont="1" applyFill="1" applyBorder="1" applyAlignment="1">
      <alignment horizontal="center" vertical="center" wrapText="1"/>
    </xf>
    <xf numFmtId="49" fontId="7" fillId="11" borderId="116" xfId="3" applyFont="1" applyFill="1" applyBorder="1" applyAlignment="1">
      <alignment horizontal="left" vertical="center" wrapText="1"/>
    </xf>
    <xf numFmtId="49" fontId="7" fillId="11" borderId="117" xfId="3" applyFont="1" applyFill="1" applyBorder="1" applyAlignment="1">
      <alignment horizontal="left" vertical="center" wrapText="1"/>
    </xf>
    <xf numFmtId="166" fontId="10" fillId="4" borderId="81" xfId="2" applyNumberFormat="1" applyFont="1" applyFill="1" applyBorder="1" applyAlignment="1">
      <alignment horizontal="center" vertical="center" wrapText="1"/>
    </xf>
    <xf numFmtId="166" fontId="8" fillId="3" borderId="118" xfId="2" applyNumberFormat="1" applyFont="1" applyFill="1" applyBorder="1" applyAlignment="1">
      <alignment horizontal="center" vertical="center" wrapText="1"/>
    </xf>
    <xf numFmtId="166" fontId="8" fillId="3" borderId="119" xfId="2" applyNumberFormat="1" applyFont="1" applyFill="1" applyBorder="1" applyAlignment="1">
      <alignment horizontal="center" vertical="center" wrapText="1"/>
    </xf>
    <xf numFmtId="166" fontId="8" fillId="3" borderId="120" xfId="2" applyNumberFormat="1" applyFont="1" applyFill="1" applyBorder="1" applyAlignment="1">
      <alignment horizontal="center" vertical="center" wrapText="1"/>
    </xf>
    <xf numFmtId="166" fontId="10" fillId="4" borderId="124" xfId="2" applyNumberFormat="1" applyFont="1" applyFill="1" applyBorder="1" applyAlignment="1">
      <alignment horizontal="center" vertical="center" wrapText="1"/>
    </xf>
    <xf numFmtId="0" fontId="25" fillId="14" borderId="0" xfId="0" applyFont="1" applyFill="1" applyAlignment="1">
      <alignment horizontal="center" vertical="center" wrapText="1"/>
    </xf>
    <xf numFmtId="0" fontId="28" fillId="14" borderId="0" xfId="0" applyFont="1" applyFill="1" applyAlignment="1">
      <alignment horizontal="center"/>
    </xf>
    <xf numFmtId="0" fontId="32" fillId="16" borderId="0" xfId="0" applyFont="1" applyFill="1"/>
    <xf numFmtId="0" fontId="32" fillId="0" borderId="0" xfId="0" applyFont="1"/>
    <xf numFmtId="0" fontId="32" fillId="16" borderId="0" xfId="0" applyFont="1" applyFill="1" applyAlignment="1">
      <alignment vertical="center"/>
    </xf>
    <xf numFmtId="0" fontId="30" fillId="16" borderId="0" xfId="0" applyFont="1" applyFill="1" applyAlignment="1">
      <alignment vertical="center"/>
    </xf>
    <xf numFmtId="0" fontId="30" fillId="16" borderId="0" xfId="0" applyFont="1" applyFill="1" applyAlignment="1">
      <alignment horizontal="right" vertical="center"/>
    </xf>
    <xf numFmtId="0" fontId="28" fillId="16" borderId="0" xfId="0" applyFont="1" applyFill="1" applyAlignment="1">
      <alignment vertical="center"/>
    </xf>
    <xf numFmtId="0" fontId="33" fillId="16" borderId="0" xfId="0" applyFont="1" applyFill="1" applyAlignment="1">
      <alignment horizontal="left" vertical="center" indent="1"/>
    </xf>
    <xf numFmtId="0" fontId="26" fillId="16" borderId="0" xfId="0" applyFont="1" applyFill="1" applyAlignment="1">
      <alignment horizontal="right" vertical="center"/>
    </xf>
    <xf numFmtId="0" fontId="34" fillId="0" borderId="0" xfId="0" applyFont="1"/>
    <xf numFmtId="0" fontId="35" fillId="0" borderId="0" xfId="0" applyFont="1"/>
    <xf numFmtId="0" fontId="37" fillId="0" borderId="0" xfId="0" applyFont="1" applyAlignment="1">
      <alignment vertical="center"/>
    </xf>
    <xf numFmtId="0" fontId="37" fillId="0" borderId="0" xfId="0" applyFont="1"/>
    <xf numFmtId="0" fontId="32" fillId="5" borderId="0" xfId="0" applyFont="1" applyFill="1"/>
    <xf numFmtId="166" fontId="10" fillId="17" borderId="80" xfId="2" applyNumberFormat="1" applyFont="1" applyFill="1" applyBorder="1" applyAlignment="1">
      <alignment horizontal="center" vertical="center" wrapText="1"/>
    </xf>
    <xf numFmtId="0" fontId="19" fillId="16" borderId="0" xfId="0" applyFont="1" applyFill="1" applyAlignment="1">
      <alignment vertical="center"/>
    </xf>
    <xf numFmtId="0" fontId="0" fillId="16" borderId="0" xfId="0" applyFill="1" applyAlignment="1">
      <alignment vertical="center"/>
    </xf>
    <xf numFmtId="0" fontId="0" fillId="16" borderId="0" xfId="0" applyFill="1" applyAlignment="1">
      <alignment horizontal="center" vertical="center"/>
    </xf>
    <xf numFmtId="0" fontId="32" fillId="5" borderId="0" xfId="0" applyFont="1" applyFill="1" applyAlignment="1">
      <alignment vertical="center"/>
    </xf>
    <xf numFmtId="0" fontId="37" fillId="5" borderId="0" xfId="0" applyFont="1" applyFill="1"/>
    <xf numFmtId="0" fontId="41" fillId="5" borderId="0" xfId="0" applyFont="1" applyFill="1"/>
    <xf numFmtId="0" fontId="37" fillId="5" borderId="0" xfId="0" applyFont="1" applyFill="1" applyAlignment="1">
      <alignment vertical="center"/>
    </xf>
    <xf numFmtId="0" fontId="30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vertical="center"/>
    </xf>
    <xf numFmtId="166" fontId="32" fillId="5" borderId="0" xfId="0" applyNumberFormat="1" applyFont="1" applyFill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6" fontId="32" fillId="12" borderId="0" xfId="0" applyNumberFormat="1" applyFont="1" applyFill="1" applyAlignment="1">
      <alignment horizontal="center" vertical="center"/>
    </xf>
    <xf numFmtId="166" fontId="42" fillId="19" borderId="0" xfId="0" applyNumberFormat="1" applyFont="1" applyFill="1" applyAlignment="1">
      <alignment horizontal="center" vertical="center"/>
    </xf>
    <xf numFmtId="166" fontId="42" fillId="19" borderId="132" xfId="0" applyNumberFormat="1" applyFont="1" applyFill="1" applyBorder="1" applyAlignment="1">
      <alignment horizontal="center" vertical="center"/>
    </xf>
    <xf numFmtId="166" fontId="32" fillId="12" borderId="131" xfId="0" applyNumberFormat="1" applyFont="1" applyFill="1" applyBorder="1" applyAlignment="1">
      <alignment horizontal="center" vertical="center"/>
    </xf>
    <xf numFmtId="166" fontId="32" fillId="0" borderId="131" xfId="0" applyNumberFormat="1" applyFont="1" applyBorder="1" applyAlignment="1">
      <alignment horizontal="center" vertical="center"/>
    </xf>
    <xf numFmtId="166" fontId="32" fillId="0" borderId="133" xfId="0" applyNumberFormat="1" applyFont="1" applyBorder="1" applyAlignment="1">
      <alignment horizontal="center" vertical="center"/>
    </xf>
    <xf numFmtId="166" fontId="32" fillId="0" borderId="136" xfId="0" applyNumberFormat="1" applyFont="1" applyBorder="1" applyAlignment="1">
      <alignment horizontal="center" vertical="center"/>
    </xf>
    <xf numFmtId="166" fontId="32" fillId="7" borderId="136" xfId="0" applyNumberFormat="1" applyFont="1" applyFill="1" applyBorder="1" applyAlignment="1">
      <alignment horizontal="center" vertical="center"/>
    </xf>
    <xf numFmtId="166" fontId="32" fillId="20" borderId="138" xfId="0" applyNumberFormat="1" applyFont="1" applyFill="1" applyBorder="1" applyAlignment="1">
      <alignment horizontal="center" vertical="center"/>
    </xf>
    <xf numFmtId="166" fontId="32" fillId="20" borderId="139" xfId="0" applyNumberFormat="1" applyFont="1" applyFill="1" applyBorder="1" applyAlignment="1">
      <alignment horizontal="center" vertical="center"/>
    </xf>
    <xf numFmtId="0" fontId="38" fillId="16" borderId="135" xfId="0" applyFont="1" applyFill="1" applyBorder="1" applyAlignment="1">
      <alignment horizontal="center" vertical="center"/>
    </xf>
    <xf numFmtId="0" fontId="38" fillId="16" borderId="140" xfId="0" applyFont="1" applyFill="1" applyBorder="1" applyAlignment="1">
      <alignment horizontal="center" vertical="center"/>
    </xf>
    <xf numFmtId="0" fontId="38" fillId="16" borderId="141" xfId="0" applyFont="1" applyFill="1" applyBorder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166" fontId="42" fillId="19" borderId="143" xfId="0" applyNumberFormat="1" applyFont="1" applyFill="1" applyBorder="1" applyAlignment="1">
      <alignment horizontal="center" vertical="center"/>
    </xf>
    <xf numFmtId="166" fontId="32" fillId="12" borderId="145" xfId="0" applyNumberFormat="1" applyFont="1" applyFill="1" applyBorder="1" applyAlignment="1">
      <alignment horizontal="center" vertical="center"/>
    </xf>
    <xf numFmtId="166" fontId="32" fillId="12" borderId="146" xfId="0" applyNumberFormat="1" applyFont="1" applyFill="1" applyBorder="1" applyAlignment="1">
      <alignment horizontal="center" vertical="center"/>
    </xf>
    <xf numFmtId="166" fontId="32" fillId="12" borderId="148" xfId="0" applyNumberFormat="1" applyFont="1" applyFill="1" applyBorder="1" applyAlignment="1">
      <alignment horizontal="center" vertical="center"/>
    </xf>
    <xf numFmtId="166" fontId="32" fillId="12" borderId="149" xfId="0" applyNumberFormat="1" applyFont="1" applyFill="1" applyBorder="1" applyAlignment="1">
      <alignment horizontal="center" vertical="center"/>
    </xf>
    <xf numFmtId="166" fontId="32" fillId="12" borderId="142" xfId="0" applyNumberFormat="1" applyFont="1" applyFill="1" applyBorder="1" applyAlignment="1">
      <alignment horizontal="center" vertical="center"/>
    </xf>
    <xf numFmtId="166" fontId="32" fillId="5" borderId="134" xfId="0" applyNumberFormat="1" applyFont="1" applyFill="1" applyBorder="1" applyAlignment="1">
      <alignment horizontal="center" vertical="center"/>
    </xf>
    <xf numFmtId="166" fontId="42" fillId="12" borderId="143" xfId="0" applyNumberFormat="1" applyFont="1" applyFill="1" applyBorder="1" applyAlignment="1">
      <alignment horizontal="center" vertical="center"/>
    </xf>
    <xf numFmtId="166" fontId="42" fillId="12" borderId="144" xfId="0" applyNumberFormat="1" applyFont="1" applyFill="1" applyBorder="1" applyAlignment="1">
      <alignment horizontal="center" vertical="center"/>
    </xf>
    <xf numFmtId="166" fontId="42" fillId="12" borderId="147" xfId="0" applyNumberFormat="1" applyFont="1" applyFill="1" applyBorder="1" applyAlignment="1">
      <alignment horizontal="center" vertical="center"/>
    </xf>
    <xf numFmtId="166" fontId="42" fillId="19" borderId="145" xfId="0" applyNumberFormat="1" applyFont="1" applyFill="1" applyBorder="1" applyAlignment="1">
      <alignment horizontal="center" vertical="center"/>
    </xf>
    <xf numFmtId="0" fontId="38" fillId="16" borderId="161" xfId="0" applyFont="1" applyFill="1" applyBorder="1" applyAlignment="1">
      <alignment horizontal="center" vertical="center"/>
    </xf>
    <xf numFmtId="0" fontId="38" fillId="16" borderId="162" xfId="0" applyFont="1" applyFill="1" applyBorder="1" applyAlignment="1">
      <alignment horizontal="center" vertical="center"/>
    </xf>
    <xf numFmtId="166" fontId="43" fillId="20" borderId="163" xfId="0" applyNumberFormat="1" applyFont="1" applyFill="1" applyBorder="1" applyAlignment="1">
      <alignment horizontal="center" vertical="center"/>
    </xf>
    <xf numFmtId="166" fontId="42" fillId="19" borderId="164" xfId="0" applyNumberFormat="1" applyFont="1" applyFill="1" applyBorder="1" applyAlignment="1">
      <alignment horizontal="center" vertical="center"/>
    </xf>
    <xf numFmtId="166" fontId="43" fillId="12" borderId="165" xfId="0" applyNumberFormat="1" applyFont="1" applyFill="1" applyBorder="1" applyAlignment="1">
      <alignment horizontal="center" vertical="center"/>
    </xf>
    <xf numFmtId="166" fontId="32" fillId="12" borderId="165" xfId="0" applyNumberFormat="1" applyFont="1" applyFill="1" applyBorder="1" applyAlignment="1">
      <alignment horizontal="center" vertical="center"/>
    </xf>
    <xf numFmtId="166" fontId="32" fillId="12" borderId="166" xfId="0" applyNumberFormat="1" applyFont="1" applyFill="1" applyBorder="1" applyAlignment="1">
      <alignment horizontal="center" vertical="center"/>
    </xf>
    <xf numFmtId="166" fontId="32" fillId="12" borderId="167" xfId="0" applyNumberFormat="1" applyFont="1" applyFill="1" applyBorder="1" applyAlignment="1">
      <alignment horizontal="center" vertical="center"/>
    </xf>
    <xf numFmtId="166" fontId="42" fillId="19" borderId="168" xfId="0" applyNumberFormat="1" applyFont="1" applyFill="1" applyBorder="1" applyAlignment="1">
      <alignment horizontal="center" vertical="center"/>
    </xf>
    <xf numFmtId="166" fontId="32" fillId="5" borderId="157" xfId="0" applyNumberFormat="1" applyFont="1" applyFill="1" applyBorder="1" applyAlignment="1">
      <alignment horizontal="center" vertical="center"/>
    </xf>
    <xf numFmtId="0" fontId="38" fillId="16" borderId="128" xfId="0" applyFont="1" applyFill="1" applyBorder="1" applyAlignment="1">
      <alignment horizontal="center" vertical="center"/>
    </xf>
    <xf numFmtId="0" fontId="38" fillId="16" borderId="129" xfId="0" applyFont="1" applyFill="1" applyBorder="1" applyAlignment="1">
      <alignment horizontal="center" vertical="center"/>
    </xf>
    <xf numFmtId="0" fontId="38" fillId="16" borderId="130" xfId="0" applyFont="1" applyFill="1" applyBorder="1" applyAlignment="1">
      <alignment horizontal="center" vertical="center"/>
    </xf>
    <xf numFmtId="166" fontId="32" fillId="0" borderId="158" xfId="0" applyNumberFormat="1" applyFont="1" applyBorder="1" applyAlignment="1">
      <alignment horizontal="center" vertical="center"/>
    </xf>
    <xf numFmtId="166" fontId="32" fillId="0" borderId="159" xfId="0" applyNumberFormat="1" applyFont="1" applyBorder="1" applyAlignment="1">
      <alignment horizontal="center" vertical="center"/>
    </xf>
    <xf numFmtId="166" fontId="32" fillId="12" borderId="159" xfId="0" applyNumberFormat="1" applyFont="1" applyFill="1" applyBorder="1" applyAlignment="1">
      <alignment horizontal="center" vertical="center"/>
    </xf>
    <xf numFmtId="166" fontId="42" fillId="19" borderId="160" xfId="0" applyNumberFormat="1" applyFont="1" applyFill="1" applyBorder="1" applyAlignment="1">
      <alignment horizontal="center" vertical="center"/>
    </xf>
    <xf numFmtId="166" fontId="43" fillId="12" borderId="0" xfId="0" applyNumberFormat="1" applyFont="1" applyFill="1" applyAlignment="1">
      <alignment horizontal="center" vertical="center"/>
    </xf>
    <xf numFmtId="166" fontId="42" fillId="18" borderId="159" xfId="0" applyNumberFormat="1" applyFont="1" applyFill="1" applyBorder="1" applyAlignment="1">
      <alignment horizontal="center" vertical="center"/>
    </xf>
    <xf numFmtId="166" fontId="32" fillId="18" borderId="165" xfId="0" applyNumberFormat="1" applyFont="1" applyFill="1" applyBorder="1" applyAlignment="1">
      <alignment horizontal="center" vertical="center"/>
    </xf>
    <xf numFmtId="166" fontId="32" fillId="18" borderId="0" xfId="0" applyNumberFormat="1" applyFont="1" applyFill="1" applyAlignment="1">
      <alignment horizontal="center" vertical="center"/>
    </xf>
    <xf numFmtId="166" fontId="42" fillId="19" borderId="166" xfId="0" applyNumberFormat="1" applyFont="1" applyFill="1" applyBorder="1" applyAlignment="1">
      <alignment horizontal="center" vertical="center"/>
    </xf>
    <xf numFmtId="166" fontId="32" fillId="0" borderId="167" xfId="0" applyNumberFormat="1" applyFont="1" applyBorder="1" applyAlignment="1">
      <alignment horizontal="center" vertical="center"/>
    </xf>
    <xf numFmtId="166" fontId="32" fillId="0" borderId="168" xfId="0" applyNumberFormat="1" applyFont="1" applyBorder="1" applyAlignment="1">
      <alignment horizontal="center" vertical="center"/>
    </xf>
    <xf numFmtId="166" fontId="42" fillId="18" borderId="165" xfId="0" applyNumberFormat="1" applyFont="1" applyFill="1" applyBorder="1" applyAlignment="1">
      <alignment horizontal="center" vertical="center"/>
    </xf>
    <xf numFmtId="166" fontId="42" fillId="18" borderId="0" xfId="0" applyNumberFormat="1" applyFont="1" applyFill="1" applyAlignment="1">
      <alignment horizontal="center" vertical="center"/>
    </xf>
    <xf numFmtId="166" fontId="32" fillId="20" borderId="163" xfId="0" applyNumberFormat="1" applyFont="1" applyFill="1" applyBorder="1" applyAlignment="1">
      <alignment horizontal="center" vertical="center"/>
    </xf>
    <xf numFmtId="166" fontId="42" fillId="19" borderId="159" xfId="0" applyNumberFormat="1" applyFont="1" applyFill="1" applyBorder="1" applyAlignment="1">
      <alignment horizontal="center" vertical="center"/>
    </xf>
    <xf numFmtId="166" fontId="42" fillId="19" borderId="165" xfId="0" applyNumberFormat="1" applyFont="1" applyFill="1" applyBorder="1" applyAlignment="1">
      <alignment horizontal="center" vertical="center"/>
    </xf>
    <xf numFmtId="166" fontId="32" fillId="18" borderId="166" xfId="0" applyNumberFormat="1" applyFont="1" applyFill="1" applyBorder="1" applyAlignment="1">
      <alignment horizontal="center" vertical="center"/>
    </xf>
    <xf numFmtId="166" fontId="32" fillId="18" borderId="167" xfId="0" applyNumberFormat="1" applyFont="1" applyFill="1" applyBorder="1" applyAlignment="1">
      <alignment horizontal="center" vertical="center"/>
    </xf>
    <xf numFmtId="166" fontId="42" fillId="19" borderId="158" xfId="0" applyNumberFormat="1" applyFont="1" applyFill="1" applyBorder="1" applyAlignment="1">
      <alignment horizontal="center" vertical="center"/>
    </xf>
    <xf numFmtId="166" fontId="43" fillId="12" borderId="159" xfId="0" applyNumberFormat="1" applyFont="1" applyFill="1" applyBorder="1" applyAlignment="1">
      <alignment horizontal="center" vertical="center"/>
    </xf>
    <xf numFmtId="166" fontId="42" fillId="12" borderId="169" xfId="0" applyNumberFormat="1" applyFont="1" applyFill="1" applyBorder="1" applyAlignment="1">
      <alignment horizontal="center" vertical="center"/>
    </xf>
    <xf numFmtId="166" fontId="32" fillId="12" borderId="170" xfId="0" applyNumberFormat="1" applyFont="1" applyFill="1" applyBorder="1" applyAlignment="1">
      <alignment horizontal="center" vertical="center"/>
    </xf>
    <xf numFmtId="166" fontId="32" fillId="12" borderId="171" xfId="0" applyNumberFormat="1" applyFont="1" applyFill="1" applyBorder="1" applyAlignment="1">
      <alignment horizontal="center" vertical="center"/>
    </xf>
    <xf numFmtId="166" fontId="32" fillId="7" borderId="166" xfId="0" applyNumberFormat="1" applyFont="1" applyFill="1" applyBorder="1" applyAlignment="1">
      <alignment horizontal="center" vertical="center"/>
    </xf>
    <xf numFmtId="166" fontId="32" fillId="7" borderId="167" xfId="0" applyNumberFormat="1" applyFont="1" applyFill="1" applyBorder="1" applyAlignment="1">
      <alignment horizontal="center" vertical="center"/>
    </xf>
    <xf numFmtId="0" fontId="32" fillId="13" borderId="0" xfId="0" applyFont="1" applyFill="1"/>
    <xf numFmtId="0" fontId="34" fillId="13" borderId="0" xfId="0" applyFont="1" applyFill="1"/>
    <xf numFmtId="0" fontId="0" fillId="13" borderId="0" xfId="0" applyFill="1" applyAlignment="1">
      <alignment vertical="center"/>
    </xf>
    <xf numFmtId="0" fontId="35" fillId="13" borderId="0" xfId="0" applyFont="1" applyFill="1"/>
    <xf numFmtId="0" fontId="37" fillId="13" borderId="0" xfId="0" applyFont="1" applyFill="1" applyAlignment="1">
      <alignment vertical="center"/>
    </xf>
    <xf numFmtId="0" fontId="37" fillId="13" borderId="0" xfId="0" applyFont="1" applyFill="1"/>
    <xf numFmtId="0" fontId="28" fillId="13" borderId="0" xfId="0" applyFont="1" applyFill="1"/>
    <xf numFmtId="0" fontId="27" fillId="5" borderId="0" xfId="0" applyFont="1" applyFill="1" applyAlignment="1">
      <alignment horizontal="center"/>
    </xf>
    <xf numFmtId="0" fontId="0" fillId="5" borderId="0" xfId="0" applyFill="1"/>
    <xf numFmtId="0" fontId="28" fillId="22" borderId="0" xfId="0" applyFont="1" applyFill="1"/>
    <xf numFmtId="0" fontId="27" fillId="22" borderId="0" xfId="0" applyFont="1" applyFill="1" applyAlignment="1">
      <alignment horizontal="center"/>
    </xf>
    <xf numFmtId="0" fontId="28" fillId="22" borderId="0" xfId="0" applyFont="1" applyFill="1" applyAlignment="1">
      <alignment horizontal="center"/>
    </xf>
    <xf numFmtId="0" fontId="45" fillId="13" borderId="0" xfId="0" applyFont="1" applyFill="1"/>
    <xf numFmtId="0" fontId="45" fillId="13" borderId="0" xfId="0" applyFont="1" applyFill="1" applyAlignment="1">
      <alignment horizontal="center"/>
    </xf>
    <xf numFmtId="167" fontId="51" fillId="0" borderId="37" xfId="0" applyNumberFormat="1" applyFont="1" applyBorder="1" applyAlignment="1">
      <alignment horizontal="center" vertical="center"/>
    </xf>
    <xf numFmtId="0" fontId="45" fillId="5" borderId="0" xfId="0" applyFont="1" applyFill="1"/>
    <xf numFmtId="0" fontId="45" fillId="5" borderId="0" xfId="0" applyFont="1" applyFill="1" applyAlignment="1">
      <alignment horizontal="center"/>
    </xf>
    <xf numFmtId="0" fontId="45" fillId="0" borderId="122" xfId="0" applyFont="1" applyBorder="1" applyAlignment="1">
      <alignment horizontal="left" vertical="center"/>
    </xf>
    <xf numFmtId="0" fontId="49" fillId="0" borderId="122" xfId="0" applyFont="1" applyBorder="1" applyAlignment="1">
      <alignment horizontal="left" vertical="center"/>
    </xf>
    <xf numFmtId="167" fontId="51" fillId="0" borderId="121" xfId="0" applyNumberFormat="1" applyFont="1" applyBorder="1" applyAlignment="1">
      <alignment horizontal="center" vertical="center"/>
    </xf>
    <xf numFmtId="0" fontId="45" fillId="13" borderId="172" xfId="0" applyFont="1" applyFill="1" applyBorder="1"/>
    <xf numFmtId="0" fontId="45" fillId="5" borderId="172" xfId="0" applyFont="1" applyFill="1" applyBorder="1" applyAlignment="1">
      <alignment horizontal="center"/>
    </xf>
    <xf numFmtId="0" fontId="49" fillId="0" borderId="175" xfId="0" applyFont="1" applyBorder="1" applyAlignment="1">
      <alignment horizontal="left" vertical="center"/>
    </xf>
    <xf numFmtId="167" fontId="49" fillId="0" borderId="0" xfId="0" applyNumberFormat="1" applyFont="1" applyAlignment="1">
      <alignment horizontal="center" vertical="center"/>
    </xf>
    <xf numFmtId="167" fontId="49" fillId="0" borderId="176" xfId="0" applyNumberFormat="1" applyFont="1" applyBorder="1" applyAlignment="1">
      <alignment horizontal="center" vertical="center"/>
    </xf>
    <xf numFmtId="0" fontId="46" fillId="21" borderId="177" xfId="0" applyFont="1" applyFill="1" applyBorder="1" applyAlignment="1">
      <alignment horizontal="center" vertical="center"/>
    </xf>
    <xf numFmtId="167" fontId="47" fillId="0" borderId="173" xfId="0" applyNumberFormat="1" applyFont="1" applyBorder="1" applyAlignment="1">
      <alignment horizontal="center" vertical="center"/>
    </xf>
    <xf numFmtId="167" fontId="48" fillId="0" borderId="173" xfId="0" applyNumberFormat="1" applyFont="1" applyBorder="1" applyAlignment="1">
      <alignment horizontal="center" vertical="center"/>
    </xf>
    <xf numFmtId="167" fontId="49" fillId="0" borderId="173" xfId="0" applyNumberFormat="1" applyFont="1" applyBorder="1" applyAlignment="1">
      <alignment horizontal="center" vertical="center"/>
    </xf>
    <xf numFmtId="167" fontId="51" fillId="0" borderId="173" xfId="0" applyNumberFormat="1" applyFont="1" applyBorder="1" applyAlignment="1">
      <alignment horizontal="center" vertical="center"/>
    </xf>
    <xf numFmtId="167" fontId="49" fillId="0" borderId="178" xfId="0" applyNumberFormat="1" applyFont="1" applyBorder="1" applyAlignment="1">
      <alignment horizontal="center" vertical="center"/>
    </xf>
    <xf numFmtId="0" fontId="46" fillId="21" borderId="174" xfId="0" applyFont="1" applyFill="1" applyBorder="1" applyAlignment="1">
      <alignment horizontal="center" vertical="center"/>
    </xf>
    <xf numFmtId="0" fontId="47" fillId="0" borderId="179" xfId="0" applyFont="1" applyBorder="1" applyAlignment="1">
      <alignment vertical="center"/>
    </xf>
    <xf numFmtId="0" fontId="48" fillId="0" borderId="181" xfId="0" applyFont="1" applyBorder="1" applyAlignment="1">
      <alignment horizontal="left" vertical="center"/>
    </xf>
    <xf numFmtId="167" fontId="48" fillId="0" borderId="182" xfId="0" applyNumberFormat="1" applyFont="1" applyBorder="1" applyAlignment="1">
      <alignment horizontal="center" vertical="center"/>
    </xf>
    <xf numFmtId="0" fontId="49" fillId="0" borderId="181" xfId="0" applyFont="1" applyBorder="1" applyAlignment="1">
      <alignment horizontal="left" vertical="center"/>
    </xf>
    <xf numFmtId="167" fontId="49" fillId="0" borderId="182" xfId="0" applyNumberFormat="1" applyFont="1" applyBorder="1" applyAlignment="1">
      <alignment horizontal="center" vertical="center"/>
    </xf>
    <xf numFmtId="0" fontId="49" fillId="0" borderId="179" xfId="0" applyFont="1" applyBorder="1" applyAlignment="1">
      <alignment horizontal="left" vertical="center"/>
    </xf>
    <xf numFmtId="167" fontId="49" fillId="0" borderId="180" xfId="0" applyNumberFormat="1" applyFont="1" applyBorder="1" applyAlignment="1">
      <alignment horizontal="center" vertical="center"/>
    </xf>
    <xf numFmtId="167" fontId="51" fillId="0" borderId="182" xfId="0" applyNumberFormat="1" applyFont="1" applyBorder="1" applyAlignment="1">
      <alignment horizontal="center" vertical="center"/>
    </xf>
    <xf numFmtId="0" fontId="52" fillId="0" borderId="181" xfId="0" applyFont="1" applyBorder="1"/>
    <xf numFmtId="0" fontId="47" fillId="0" borderId="181" xfId="0" applyFont="1" applyBorder="1" applyAlignment="1">
      <alignment horizontal="left" vertical="center"/>
    </xf>
    <xf numFmtId="167" fontId="47" fillId="0" borderId="182" xfId="0" applyNumberFormat="1" applyFont="1" applyBorder="1" applyAlignment="1">
      <alignment horizontal="center" vertical="center"/>
    </xf>
    <xf numFmtId="0" fontId="45" fillId="0" borderId="181" xfId="0" applyFont="1" applyBorder="1" applyAlignment="1">
      <alignment horizontal="left" vertical="center"/>
    </xf>
    <xf numFmtId="0" fontId="51" fillId="0" borderId="181" xfId="0" applyFont="1" applyBorder="1"/>
    <xf numFmtId="0" fontId="47" fillId="0" borderId="181" xfId="0" applyFont="1" applyBorder="1" applyAlignment="1">
      <alignment vertical="center"/>
    </xf>
    <xf numFmtId="0" fontId="47" fillId="0" borderId="183" xfId="0" applyFont="1" applyBorder="1" applyAlignment="1">
      <alignment horizontal="left" vertical="center"/>
    </xf>
    <xf numFmtId="0" fontId="48" fillId="21" borderId="36" xfId="0" applyFont="1" applyFill="1" applyBorder="1" applyAlignment="1">
      <alignment horizontal="center" vertical="center"/>
    </xf>
    <xf numFmtId="0" fontId="46" fillId="21" borderId="36" xfId="0" applyFont="1" applyFill="1" applyBorder="1" applyAlignment="1">
      <alignment horizontal="center" vertical="center"/>
    </xf>
    <xf numFmtId="0" fontId="46" fillId="21" borderId="50" xfId="0" applyFont="1" applyFill="1" applyBorder="1" applyAlignment="1">
      <alignment horizontal="center" vertical="center"/>
    </xf>
    <xf numFmtId="0" fontId="49" fillId="0" borderId="53" xfId="0" applyFont="1" applyBorder="1" applyAlignment="1">
      <alignment horizontal="left" vertical="center"/>
    </xf>
    <xf numFmtId="0" fontId="49" fillId="0" borderId="37" xfId="0" applyFont="1" applyBorder="1" applyAlignment="1">
      <alignment horizontal="center" vertical="center"/>
    </xf>
    <xf numFmtId="167" fontId="54" fillId="0" borderId="37" xfId="0" applyNumberFormat="1" applyFont="1" applyBorder="1" applyAlignment="1">
      <alignment horizontal="center" vertical="center"/>
    </xf>
    <xf numFmtId="0" fontId="49" fillId="0" borderId="53" xfId="0" applyFont="1" applyBorder="1"/>
    <xf numFmtId="0" fontId="49" fillId="0" borderId="55" xfId="0" applyFont="1" applyBorder="1" applyAlignment="1">
      <alignment horizontal="left" vertical="center"/>
    </xf>
    <xf numFmtId="0" fontId="49" fillId="0" borderId="41" xfId="0" applyFont="1" applyBorder="1" applyAlignment="1">
      <alignment horizontal="center" vertical="center"/>
    </xf>
    <xf numFmtId="167" fontId="51" fillId="0" borderId="41" xfId="0" applyNumberFormat="1" applyFont="1" applyBorder="1" applyAlignment="1">
      <alignment horizontal="center" vertical="center"/>
    </xf>
    <xf numFmtId="0" fontId="51" fillId="0" borderId="37" xfId="0" applyFont="1" applyBorder="1" applyAlignment="1">
      <alignment horizontal="center" vertical="center"/>
    </xf>
    <xf numFmtId="0" fontId="51" fillId="5" borderId="37" xfId="0" applyFont="1" applyFill="1" applyBorder="1" applyAlignment="1">
      <alignment horizontal="center" vertical="center"/>
    </xf>
    <xf numFmtId="0" fontId="51" fillId="5" borderId="54" xfId="0" applyFont="1" applyFill="1" applyBorder="1" applyAlignment="1">
      <alignment horizontal="center" vertical="center"/>
    </xf>
    <xf numFmtId="167" fontId="51" fillId="5" borderId="37" xfId="0" applyNumberFormat="1" applyFont="1" applyFill="1" applyBorder="1" applyAlignment="1">
      <alignment horizontal="center" vertical="center"/>
    </xf>
    <xf numFmtId="167" fontId="51" fillId="5" borderId="54" xfId="0" applyNumberFormat="1" applyFont="1" applyFill="1" applyBorder="1" applyAlignment="1">
      <alignment horizontal="center" vertical="center"/>
    </xf>
    <xf numFmtId="167" fontId="51" fillId="5" borderId="41" xfId="0" applyNumberFormat="1" applyFont="1" applyFill="1" applyBorder="1" applyAlignment="1">
      <alignment horizontal="center" vertical="center"/>
    </xf>
    <xf numFmtId="167" fontId="51" fillId="5" borderId="121" xfId="0" applyNumberFormat="1" applyFont="1" applyFill="1" applyBorder="1" applyAlignment="1">
      <alignment horizontal="center" vertical="center"/>
    </xf>
    <xf numFmtId="0" fontId="49" fillId="0" borderId="40" xfId="0" applyFont="1" applyBorder="1" applyAlignment="1">
      <alignment horizontal="left" vertical="center"/>
    </xf>
    <xf numFmtId="0" fontId="51" fillId="0" borderId="41" xfId="0" applyFont="1" applyBorder="1" applyAlignment="1">
      <alignment horizontal="center" vertical="center"/>
    </xf>
    <xf numFmtId="0" fontId="49" fillId="0" borderId="49" xfId="0" applyFont="1" applyBorder="1" applyAlignment="1">
      <alignment horizontal="left" vertical="center"/>
    </xf>
    <xf numFmtId="0" fontId="51" fillId="0" borderId="36" xfId="0" applyFont="1" applyBorder="1" applyAlignment="1">
      <alignment horizontal="center" vertical="center"/>
    </xf>
    <xf numFmtId="167" fontId="51" fillId="0" borderId="36" xfId="0" applyNumberFormat="1" applyFont="1" applyBorder="1" applyAlignment="1">
      <alignment horizontal="center" vertical="center"/>
    </xf>
    <xf numFmtId="167" fontId="51" fillId="5" borderId="36" xfId="0" applyNumberFormat="1" applyFont="1" applyFill="1" applyBorder="1" applyAlignment="1">
      <alignment horizontal="center" vertical="center"/>
    </xf>
    <xf numFmtId="167" fontId="51" fillId="5" borderId="50" xfId="0" applyNumberFormat="1" applyFont="1" applyFill="1" applyBorder="1" applyAlignment="1">
      <alignment horizontal="center" vertical="center"/>
    </xf>
    <xf numFmtId="167" fontId="51" fillId="5" borderId="123" xfId="0" applyNumberFormat="1" applyFont="1" applyFill="1" applyBorder="1" applyAlignment="1">
      <alignment horizontal="center" vertical="center"/>
    </xf>
    <xf numFmtId="0" fontId="49" fillId="5" borderId="122" xfId="0" applyFont="1" applyFill="1" applyBorder="1" applyAlignment="1">
      <alignment horizontal="left" vertical="center"/>
    </xf>
    <xf numFmtId="0" fontId="49" fillId="5" borderId="40" xfId="0" applyFont="1" applyFill="1" applyBorder="1" applyAlignment="1">
      <alignment horizontal="left" vertical="center"/>
    </xf>
    <xf numFmtId="0" fontId="51" fillId="5" borderId="41" xfId="0" applyFont="1" applyFill="1" applyBorder="1" applyAlignment="1">
      <alignment horizontal="center" vertical="center"/>
    </xf>
    <xf numFmtId="0" fontId="49" fillId="0" borderId="38" xfId="0" applyFont="1" applyBorder="1" applyAlignment="1">
      <alignment horizontal="left" vertical="center"/>
    </xf>
    <xf numFmtId="167" fontId="51" fillId="5" borderId="39" xfId="0" applyNumberFormat="1" applyFont="1" applyFill="1" applyBorder="1" applyAlignment="1">
      <alignment horizontal="center" vertical="center"/>
    </xf>
    <xf numFmtId="0" fontId="49" fillId="0" borderId="38" xfId="0" applyFont="1" applyBorder="1" applyAlignment="1">
      <alignment vertical="center"/>
    </xf>
    <xf numFmtId="0" fontId="49" fillId="0" borderId="122" xfId="0" applyFont="1" applyBorder="1" applyAlignment="1">
      <alignment vertical="center"/>
    </xf>
    <xf numFmtId="0" fontId="49" fillId="0" borderId="40" xfId="0" applyFont="1" applyBorder="1" applyAlignment="1">
      <alignment vertical="center"/>
    </xf>
    <xf numFmtId="166" fontId="32" fillId="7" borderId="165" xfId="0" applyNumberFormat="1" applyFont="1" applyFill="1" applyBorder="1" applyAlignment="1">
      <alignment horizontal="center" vertical="center"/>
    </xf>
    <xf numFmtId="166" fontId="32" fillId="7" borderId="0" xfId="0" applyNumberFormat="1" applyFont="1" applyFill="1" applyAlignment="1">
      <alignment horizontal="center" vertical="center"/>
    </xf>
    <xf numFmtId="167" fontId="51" fillId="0" borderId="37" xfId="0" applyNumberFormat="1" applyFont="1" applyBorder="1" applyAlignment="1">
      <alignment horizontal="center" vertical="center"/>
    </xf>
    <xf numFmtId="167" fontId="51" fillId="5" borderId="37" xfId="0" applyNumberFormat="1" applyFont="1" applyFill="1" applyBorder="1" applyAlignment="1">
      <alignment horizontal="center" vertical="center"/>
    </xf>
    <xf numFmtId="167" fontId="51" fillId="5" borderId="39" xfId="0" applyNumberFormat="1" applyFont="1" applyFill="1" applyBorder="1" applyAlignment="1">
      <alignment horizontal="center" vertical="center"/>
    </xf>
    <xf numFmtId="167" fontId="51" fillId="0" borderId="121" xfId="0" applyNumberFormat="1" applyFont="1" applyBorder="1" applyAlignment="1">
      <alignment horizontal="center" vertical="center"/>
    </xf>
    <xf numFmtId="0" fontId="48" fillId="0" borderId="155" xfId="0" applyFont="1" applyBorder="1" applyAlignment="1">
      <alignment horizontal="left" vertical="center"/>
    </xf>
    <xf numFmtId="0" fontId="48" fillId="0" borderId="44" xfId="0" applyFont="1" applyBorder="1" applyAlignment="1">
      <alignment horizontal="left" vertical="center"/>
    </xf>
    <xf numFmtId="0" fontId="48" fillId="0" borderId="156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46" fillId="21" borderId="46" xfId="0" applyFont="1" applyFill="1" applyBorder="1" applyAlignment="1">
      <alignment horizontal="center" vertical="center"/>
    </xf>
    <xf numFmtId="0" fontId="46" fillId="21" borderId="49" xfId="0" applyFont="1" applyFill="1" applyBorder="1" applyAlignment="1">
      <alignment horizontal="center" vertical="center"/>
    </xf>
    <xf numFmtId="0" fontId="48" fillId="21" borderId="47" xfId="0" applyFont="1" applyFill="1" applyBorder="1" applyAlignment="1">
      <alignment horizontal="center" vertical="center"/>
    </xf>
    <xf numFmtId="0" fontId="46" fillId="21" borderId="47" xfId="0" applyFont="1" applyFill="1" applyBorder="1" applyAlignment="1">
      <alignment horizontal="center" vertical="center"/>
    </xf>
    <xf numFmtId="0" fontId="46" fillId="21" borderId="48" xfId="0" applyFont="1" applyFill="1" applyBorder="1" applyAlignment="1">
      <alignment horizontal="center" vertical="center"/>
    </xf>
    <xf numFmtId="0" fontId="48" fillId="0" borderId="51" xfId="0" applyFont="1" applyBorder="1" applyAlignment="1">
      <alignment horizontal="left" vertical="center"/>
    </xf>
    <xf numFmtId="0" fontId="48" fillId="0" borderId="34" xfId="0" applyFont="1" applyBorder="1" applyAlignment="1">
      <alignment horizontal="left" vertical="center"/>
    </xf>
    <xf numFmtId="0" fontId="48" fillId="0" borderId="52" xfId="0" applyFont="1" applyBorder="1" applyAlignment="1">
      <alignment horizontal="left" vertical="center"/>
    </xf>
    <xf numFmtId="167" fontId="51" fillId="0" borderId="41" xfId="0" applyNumberFormat="1" applyFont="1" applyBorder="1" applyAlignment="1">
      <alignment horizontal="center" vertical="center"/>
    </xf>
    <xf numFmtId="167" fontId="51" fillId="5" borderId="41" xfId="0" applyNumberFormat="1" applyFont="1" applyFill="1" applyBorder="1" applyAlignment="1">
      <alignment horizontal="center" vertical="center"/>
    </xf>
    <xf numFmtId="167" fontId="51" fillId="5" borderId="56" xfId="0" applyNumberFormat="1" applyFont="1" applyFill="1" applyBorder="1" applyAlignment="1">
      <alignment horizontal="center" vertical="center"/>
    </xf>
    <xf numFmtId="0" fontId="48" fillId="0" borderId="33" xfId="0" applyFont="1" applyBorder="1" applyAlignment="1">
      <alignment horizontal="left" vertical="center"/>
    </xf>
    <xf numFmtId="0" fontId="48" fillId="0" borderId="35" xfId="0" applyFont="1" applyBorder="1" applyAlignment="1">
      <alignment horizontal="left" vertical="center"/>
    </xf>
    <xf numFmtId="167" fontId="51" fillId="0" borderId="123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left" vertical="center"/>
    </xf>
    <xf numFmtId="0" fontId="48" fillId="0" borderId="45" xfId="0" applyFont="1" applyBorder="1" applyAlignment="1">
      <alignment horizontal="left" vertical="center"/>
    </xf>
    <xf numFmtId="0" fontId="48" fillId="0" borderId="150" xfId="0" applyFont="1" applyBorder="1" applyAlignment="1">
      <alignment horizontal="left" vertical="center"/>
    </xf>
    <xf numFmtId="0" fontId="48" fillId="0" borderId="151" xfId="0" applyFont="1" applyBorder="1" applyAlignment="1">
      <alignment horizontal="left" vertical="center"/>
    </xf>
    <xf numFmtId="0" fontId="48" fillId="0" borderId="152" xfId="0" applyFont="1" applyBorder="1" applyAlignment="1">
      <alignment horizontal="left" vertical="center"/>
    </xf>
    <xf numFmtId="167" fontId="51" fillId="5" borderId="42" xfId="0" applyNumberFormat="1" applyFont="1" applyFill="1" applyBorder="1" applyAlignment="1">
      <alignment horizontal="center" vertical="center"/>
    </xf>
    <xf numFmtId="164" fontId="14" fillId="5" borderId="75" xfId="2" quotePrefix="1" applyNumberFormat="1" applyFont="1" applyFill="1" applyBorder="1" applyAlignment="1">
      <alignment horizontal="center" vertical="center" shrinkToFit="1"/>
    </xf>
    <xf numFmtId="0" fontId="14" fillId="5" borderId="75" xfId="2" applyFont="1" applyFill="1" applyBorder="1" applyAlignment="1">
      <alignment horizontal="center" vertical="center" shrinkToFit="1"/>
    </xf>
    <xf numFmtId="0" fontId="15" fillId="0" borderId="0" xfId="0" applyFont="1" applyAlignment="1">
      <alignment horizontal="center" textRotation="90"/>
    </xf>
    <xf numFmtId="0" fontId="19" fillId="12" borderId="20" xfId="0" applyFont="1" applyFill="1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0" fontId="19" fillId="12" borderId="22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top" wrapText="1"/>
    </xf>
    <xf numFmtId="0" fontId="18" fillId="7" borderId="0" xfId="2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8" fillId="9" borderId="8" xfId="2" applyFont="1" applyFill="1" applyBorder="1" applyAlignment="1">
      <alignment horizontal="center" vertical="center"/>
    </xf>
    <xf numFmtId="0" fontId="18" fillId="9" borderId="9" xfId="2" applyFont="1" applyFill="1" applyBorder="1" applyAlignment="1">
      <alignment horizontal="center" vertical="center"/>
    </xf>
    <xf numFmtId="0" fontId="18" fillId="9" borderId="10" xfId="2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164" fontId="22" fillId="0" borderId="75" xfId="2" quotePrefix="1" applyNumberFormat="1" applyFont="1" applyBorder="1" applyAlignment="1">
      <alignment horizontal="center" vertical="center" shrinkToFit="1"/>
    </xf>
    <xf numFmtId="0" fontId="22" fillId="0" borderId="75" xfId="2" applyFont="1" applyBorder="1" applyAlignment="1">
      <alignment horizontal="center" vertical="center" shrinkToFit="1"/>
    </xf>
    <xf numFmtId="167" fontId="47" fillId="0" borderId="173" xfId="0" applyNumberFormat="1" applyFont="1" applyBorder="1" applyAlignment="1">
      <alignment horizontal="center" vertical="center"/>
    </xf>
    <xf numFmtId="167" fontId="47" fillId="0" borderId="182" xfId="0" applyNumberFormat="1" applyFont="1" applyBorder="1" applyAlignment="1">
      <alignment horizontal="center" vertical="center"/>
    </xf>
    <xf numFmtId="0" fontId="53" fillId="5" borderId="0" xfId="0" applyFont="1" applyFill="1" applyAlignment="1">
      <alignment horizontal="center" vertical="center"/>
    </xf>
    <xf numFmtId="167" fontId="47" fillId="0" borderId="178" xfId="0" applyNumberFormat="1" applyFont="1" applyBorder="1" applyAlignment="1">
      <alignment horizontal="center" vertical="center"/>
    </xf>
    <xf numFmtId="167" fontId="47" fillId="0" borderId="180" xfId="0" applyNumberFormat="1" applyFont="1" applyBorder="1" applyAlignment="1">
      <alignment horizontal="center" vertical="center"/>
    </xf>
    <xf numFmtId="167" fontId="49" fillId="0" borderId="173" xfId="0" applyNumberFormat="1" applyFont="1" applyBorder="1" applyAlignment="1">
      <alignment horizontal="center" vertical="center"/>
    </xf>
    <xf numFmtId="167" fontId="49" fillId="0" borderId="182" xfId="0" applyNumberFormat="1" applyFont="1" applyBorder="1" applyAlignment="1">
      <alignment horizontal="center" vertical="center"/>
    </xf>
    <xf numFmtId="167" fontId="45" fillId="0" borderId="173" xfId="0" applyNumberFormat="1" applyFont="1" applyBorder="1" applyAlignment="1">
      <alignment horizontal="center" vertical="center"/>
    </xf>
    <xf numFmtId="167" fontId="45" fillId="0" borderId="182" xfId="0" applyNumberFormat="1" applyFont="1" applyBorder="1" applyAlignment="1">
      <alignment horizontal="center" vertical="center"/>
    </xf>
    <xf numFmtId="167" fontId="48" fillId="0" borderId="173" xfId="0" applyNumberFormat="1" applyFont="1" applyBorder="1" applyAlignment="1">
      <alignment horizontal="center" vertical="center"/>
    </xf>
    <xf numFmtId="167" fontId="48" fillId="0" borderId="182" xfId="0" applyNumberFormat="1" applyFont="1" applyBorder="1" applyAlignment="1">
      <alignment horizontal="center" vertical="center"/>
    </xf>
    <xf numFmtId="167" fontId="47" fillId="0" borderId="184" xfId="0" applyNumberFormat="1" applyFont="1" applyBorder="1" applyAlignment="1">
      <alignment horizontal="center" vertical="center"/>
    </xf>
    <xf numFmtId="167" fontId="47" fillId="0" borderId="185" xfId="0" applyNumberFormat="1" applyFont="1" applyBorder="1" applyAlignment="1">
      <alignment horizontal="center" vertical="center"/>
    </xf>
    <xf numFmtId="167" fontId="51" fillId="0" borderId="173" xfId="0" applyNumberFormat="1" applyFont="1" applyBorder="1" applyAlignment="1">
      <alignment horizontal="center" vertical="center"/>
    </xf>
    <xf numFmtId="167" fontId="51" fillId="0" borderId="182" xfId="0" applyNumberFormat="1" applyFont="1" applyBorder="1" applyAlignment="1">
      <alignment horizontal="center" vertical="center"/>
    </xf>
    <xf numFmtId="0" fontId="40" fillId="5" borderId="0" xfId="0" applyFont="1" applyFill="1" applyAlignment="1">
      <alignment horizontal="right" textRotation="90"/>
    </xf>
    <xf numFmtId="0" fontId="28" fillId="0" borderId="125" xfId="0" applyFont="1" applyBorder="1" applyAlignment="1">
      <alignment horizontal="center" vertical="center"/>
    </xf>
    <xf numFmtId="0" fontId="28" fillId="0" borderId="126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168" fontId="36" fillId="13" borderId="158" xfId="0" applyNumberFormat="1" applyFont="1" applyFill="1" applyBorder="1" applyAlignment="1">
      <alignment horizontal="center" vertical="center"/>
    </xf>
    <xf numFmtId="168" fontId="36" fillId="13" borderId="159" xfId="0" applyNumberFormat="1" applyFont="1" applyFill="1" applyBorder="1" applyAlignment="1">
      <alignment horizontal="center" vertical="center"/>
    </xf>
    <xf numFmtId="168" fontId="36" fillId="13" borderId="160" xfId="0" applyNumberFormat="1" applyFont="1" applyFill="1" applyBorder="1" applyAlignment="1">
      <alignment horizontal="center" vertical="center"/>
    </xf>
    <xf numFmtId="168" fontId="36" fillId="13" borderId="128" xfId="0" applyNumberFormat="1" applyFont="1" applyFill="1" applyBorder="1" applyAlignment="1">
      <alignment horizontal="center" vertical="center"/>
    </xf>
    <xf numFmtId="168" fontId="36" fillId="13" borderId="129" xfId="0" applyNumberFormat="1" applyFont="1" applyFill="1" applyBorder="1" applyAlignment="1">
      <alignment horizontal="center" vertical="center"/>
    </xf>
    <xf numFmtId="168" fontId="36" fillId="13" borderId="130" xfId="0" applyNumberFormat="1" applyFont="1" applyFill="1" applyBorder="1" applyAlignment="1">
      <alignment horizontal="center" vertical="center"/>
    </xf>
    <xf numFmtId="0" fontId="39" fillId="5" borderId="0" xfId="0" applyFont="1" applyFill="1" applyAlignment="1">
      <alignment horizontal="center" vertical="top" wrapText="1"/>
    </xf>
    <xf numFmtId="0" fontId="39" fillId="5" borderId="0" xfId="0" applyFont="1" applyFill="1" applyAlignment="1">
      <alignment horizontal="center" vertical="top"/>
    </xf>
    <xf numFmtId="0" fontId="19" fillId="5" borderId="20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16" borderId="153" xfId="0" applyFont="1" applyFill="1" applyBorder="1" applyAlignment="1">
      <alignment horizontal="center" vertical="center"/>
    </xf>
    <xf numFmtId="0" fontId="19" fillId="16" borderId="142" xfId="0" applyFont="1" applyFill="1" applyBorder="1" applyAlignment="1">
      <alignment horizontal="center" vertical="center"/>
    </xf>
    <xf numFmtId="0" fontId="19" fillId="16" borderId="154" xfId="0" applyFont="1" applyFill="1" applyBorder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0" fontId="18" fillId="20" borderId="137" xfId="2" applyFont="1" applyFill="1" applyBorder="1" applyAlignment="1">
      <alignment horizontal="center" vertical="center"/>
    </xf>
    <xf numFmtId="0" fontId="18" fillId="20" borderId="138" xfId="2" applyFont="1" applyFill="1" applyBorder="1" applyAlignment="1">
      <alignment horizontal="center" vertical="center"/>
    </xf>
    <xf numFmtId="0" fontId="18" fillId="20" borderId="139" xfId="2" applyFont="1" applyFill="1" applyBorder="1" applyAlignment="1">
      <alignment horizontal="center" vertical="center"/>
    </xf>
    <xf numFmtId="0" fontId="18" fillId="12" borderId="0" xfId="2" applyFont="1" applyFill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44" fillId="19" borderId="0" xfId="0" applyFont="1" applyFill="1" applyAlignment="1">
      <alignment horizontal="center" vertical="center"/>
    </xf>
    <xf numFmtId="0" fontId="49" fillId="0" borderId="122" xfId="0" applyFont="1" applyFill="1" applyBorder="1" applyAlignment="1">
      <alignment horizontal="left" vertical="center"/>
    </xf>
    <xf numFmtId="167" fontId="49" fillId="0" borderId="173" xfId="0" applyNumberFormat="1" applyFont="1" applyFill="1" applyBorder="1" applyAlignment="1">
      <alignment horizontal="center" vertical="center"/>
    </xf>
    <xf numFmtId="167" fontId="49" fillId="0" borderId="182" xfId="0" applyNumberFormat="1" applyFont="1" applyFill="1" applyBorder="1" applyAlignment="1">
      <alignment horizontal="center" vertical="center"/>
    </xf>
    <xf numFmtId="167" fontId="49" fillId="0" borderId="180" xfId="0" applyNumberFormat="1" applyFont="1" applyFill="1" applyBorder="1" applyAlignment="1">
      <alignment horizontal="center" vertical="center"/>
    </xf>
    <xf numFmtId="167" fontId="48" fillId="0" borderId="182" xfId="0" applyNumberFormat="1" applyFont="1" applyFill="1" applyBorder="1" applyAlignment="1">
      <alignment horizontal="center" vertical="center"/>
    </xf>
    <xf numFmtId="167" fontId="51" fillId="0" borderId="182" xfId="0" applyNumberFormat="1" applyFont="1" applyFill="1" applyBorder="1" applyAlignment="1">
      <alignment horizontal="center" vertical="center"/>
    </xf>
    <xf numFmtId="167" fontId="51" fillId="0" borderId="37" xfId="0" applyNumberFormat="1" applyFont="1" applyFill="1" applyBorder="1" applyAlignment="1">
      <alignment horizontal="center" vertical="center"/>
    </xf>
    <xf numFmtId="0" fontId="49" fillId="0" borderId="37" xfId="0" applyFont="1" applyFill="1" applyBorder="1" applyAlignment="1">
      <alignment horizontal="center" vertical="center"/>
    </xf>
    <xf numFmtId="0" fontId="49" fillId="0" borderId="54" xfId="0" applyFont="1" applyFill="1" applyBorder="1" applyAlignment="1">
      <alignment horizontal="center" vertical="center"/>
    </xf>
    <xf numFmtId="167" fontId="51" fillId="0" borderId="54" xfId="0" applyNumberFormat="1" applyFont="1" applyFill="1" applyBorder="1" applyAlignment="1">
      <alignment horizontal="center" vertical="center"/>
    </xf>
    <xf numFmtId="167" fontId="54" fillId="0" borderId="37" xfId="0" applyNumberFormat="1" applyFont="1" applyFill="1" applyBorder="1" applyAlignment="1">
      <alignment horizontal="center" vertical="center"/>
    </xf>
    <xf numFmtId="167" fontId="51" fillId="0" borderId="41" xfId="0" applyNumberFormat="1" applyFont="1" applyFill="1" applyBorder="1" applyAlignment="1">
      <alignment horizontal="center" vertical="center"/>
    </xf>
    <xf numFmtId="167" fontId="51" fillId="0" borderId="121" xfId="0" applyNumberFormat="1" applyFont="1" applyFill="1" applyBorder="1" applyAlignment="1">
      <alignment horizontal="center" vertical="center"/>
    </xf>
    <xf numFmtId="0" fontId="51" fillId="0" borderId="37" xfId="0" applyFont="1" applyFill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WinCalendar_BlankCells_56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E1"/>
      <rgbColor rgb="00CCFFFF"/>
      <rgbColor rgb="00660066"/>
      <rgbColor rgb="00FF8080"/>
      <rgbColor rgb="000066CC"/>
      <rgbColor rgb="0012318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B9BB"/>
      <color rgb="FFFF7C80"/>
      <color rgb="FFFCF3FF"/>
      <color rgb="FFF6DDFF"/>
      <color rgb="FFFFDDDD"/>
      <color rgb="FFF3D1FF"/>
      <color rgb="FFE7A3FF"/>
      <color rgb="FFE089FF"/>
      <color rgb="FFF8B3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21978</xdr:colOff>
      <xdr:row>0</xdr:row>
      <xdr:rowOff>22224</xdr:rowOff>
    </xdr:from>
    <xdr:to>
      <xdr:col>7</xdr:col>
      <xdr:colOff>276225</xdr:colOff>
      <xdr:row>1</xdr:row>
      <xdr:rowOff>236008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78" y="22224"/>
          <a:ext cx="1796239" cy="394053"/>
        </a:xfrm>
        <a:prstGeom prst="rect">
          <a:avLst/>
        </a:prstGeom>
      </xdr:spPr>
    </xdr:pic>
    <xdr:clientData/>
  </xdr:twoCellAnchor>
  <xdr:twoCellAnchor>
    <xdr:from>
      <xdr:col>20</xdr:col>
      <xdr:colOff>315912</xdr:colOff>
      <xdr:row>10</xdr:row>
      <xdr:rowOff>57150</xdr:rowOff>
    </xdr:from>
    <xdr:to>
      <xdr:col>27</xdr:col>
      <xdr:colOff>38100</xdr:colOff>
      <xdr:row>10</xdr:row>
      <xdr:rowOff>271463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929312" y="2857500"/>
          <a:ext cx="1957388" cy="214313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suspensión</a:t>
          </a:r>
          <a:r>
            <a:rPr lang="es-CL" sz="8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académica</a:t>
          </a:r>
          <a:endParaRPr lang="es-CL" sz="800" b="1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317501</xdr:colOff>
      <xdr:row>8</xdr:row>
      <xdr:rowOff>173365</xdr:rowOff>
    </xdr:from>
    <xdr:to>
      <xdr:col>22</xdr:col>
      <xdr:colOff>28223</xdr:colOff>
      <xdr:row>10</xdr:row>
      <xdr:rowOff>42333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5933723" y="2586365"/>
          <a:ext cx="359833" cy="235857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373064</xdr:rowOff>
    </xdr:from>
    <xdr:to>
      <xdr:col>16</xdr:col>
      <xdr:colOff>119062</xdr:colOff>
      <xdr:row>17</xdr:row>
      <xdr:rowOff>72572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4538738" y="3164040"/>
          <a:ext cx="119062" cy="1332365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69849</xdr:colOff>
      <xdr:row>10</xdr:row>
      <xdr:rowOff>149224</xdr:rowOff>
    </xdr:from>
    <xdr:to>
      <xdr:col>18</xdr:col>
      <xdr:colOff>31749</xdr:colOff>
      <xdr:row>10</xdr:row>
      <xdr:rowOff>373061</xdr:rowOff>
    </xdr:to>
    <xdr:sp macro="" textlink="">
      <xdr:nvSpPr>
        <xdr:cNvPr id="22" name="Rectángulo redondead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062287" y="2943224"/>
          <a:ext cx="2192337" cy="223837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Estado de reprobacion por inasistencia</a:t>
          </a:r>
        </a:p>
      </xdr:txBody>
    </xdr:sp>
    <xdr:clientData/>
  </xdr:twoCellAnchor>
  <xdr:twoCellAnchor>
    <xdr:from>
      <xdr:col>35</xdr:col>
      <xdr:colOff>0</xdr:colOff>
      <xdr:row>1</xdr:row>
      <xdr:rowOff>1005417</xdr:rowOff>
    </xdr:from>
    <xdr:to>
      <xdr:col>35</xdr:col>
      <xdr:colOff>52917</xdr:colOff>
      <xdr:row>5</xdr:row>
      <xdr:rowOff>72571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10093476" y="1189869"/>
          <a:ext cx="52917" cy="745369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10</xdr:row>
      <xdr:rowOff>141290</xdr:rowOff>
    </xdr:from>
    <xdr:to>
      <xdr:col>36</xdr:col>
      <xdr:colOff>63500</xdr:colOff>
      <xdr:row>10</xdr:row>
      <xdr:rowOff>381000</xdr:rowOff>
    </xdr:to>
    <xdr:sp macro="" textlink="">
      <xdr:nvSpPr>
        <xdr:cNvPr id="36" name="Rectángulo redondead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8501062" y="2945873"/>
          <a:ext cx="2039938" cy="239710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 período retiro de asignaturas</a:t>
          </a:r>
        </a:p>
      </xdr:txBody>
    </xdr:sp>
    <xdr:clientData/>
  </xdr:twoCellAnchor>
  <xdr:twoCellAnchor>
    <xdr:from>
      <xdr:col>29</xdr:col>
      <xdr:colOff>320675</xdr:colOff>
      <xdr:row>17</xdr:row>
      <xdr:rowOff>85019</xdr:rowOff>
    </xdr:from>
    <xdr:to>
      <xdr:col>30</xdr:col>
      <xdr:colOff>114299</xdr:colOff>
      <xdr:row>18</xdr:row>
      <xdr:rowOff>103011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8554508" y="4480630"/>
          <a:ext cx="118180" cy="201437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163512</xdr:colOff>
      <xdr:row>18</xdr:row>
      <xdr:rowOff>102660</xdr:rowOff>
    </xdr:from>
    <xdr:to>
      <xdr:col>28</xdr:col>
      <xdr:colOff>71438</xdr:colOff>
      <xdr:row>19</xdr:row>
      <xdr:rowOff>226218</xdr:rowOff>
    </xdr:to>
    <xdr:sp macro="" textlink="">
      <xdr:nvSpPr>
        <xdr:cNvPr id="39" name="Rectángulo redondead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759450" y="4627035"/>
          <a:ext cx="2324894" cy="302152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</a:t>
          </a:r>
          <a:r>
            <a:rPr lang="es-CL" sz="8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período suspensión académica</a:t>
          </a:r>
        </a:p>
      </xdr:txBody>
    </xdr:sp>
    <xdr:clientData/>
  </xdr:twoCellAnchor>
  <xdr:twoCellAnchor>
    <xdr:from>
      <xdr:col>24</xdr:col>
      <xdr:colOff>3175</xdr:colOff>
      <xdr:row>16</xdr:row>
      <xdr:rowOff>107950</xdr:rowOff>
    </xdr:from>
    <xdr:to>
      <xdr:col>24</xdr:col>
      <xdr:colOff>207434</xdr:colOff>
      <xdr:row>18</xdr:row>
      <xdr:rowOff>110067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6880225" y="4349750"/>
          <a:ext cx="204259" cy="389467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288062</xdr:colOff>
      <xdr:row>18</xdr:row>
      <xdr:rowOff>104068</xdr:rowOff>
    </xdr:from>
    <xdr:to>
      <xdr:col>36</xdr:col>
      <xdr:colOff>25418</xdr:colOff>
      <xdr:row>19</xdr:row>
      <xdr:rowOff>156985</xdr:rowOff>
    </xdr:to>
    <xdr:sp macro="" textlink="">
      <xdr:nvSpPr>
        <xdr:cNvPr id="48" name="Rectángulo redondead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8543062" y="4769201"/>
          <a:ext cx="1981023" cy="239184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suspensión académica</a:t>
          </a:r>
        </a:p>
      </xdr:txBody>
    </xdr:sp>
    <xdr:clientData/>
  </xdr:twoCellAnchor>
  <xdr:twoCellAnchor>
    <xdr:from>
      <xdr:col>30</xdr:col>
      <xdr:colOff>0</xdr:colOff>
      <xdr:row>10</xdr:row>
      <xdr:rowOff>373063</xdr:rowOff>
    </xdr:from>
    <xdr:to>
      <xdr:col>30</xdr:col>
      <xdr:colOff>198438</xdr:colOff>
      <xdr:row>15</xdr:row>
      <xdr:rowOff>79375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8553450" y="3160713"/>
          <a:ext cx="198438" cy="969962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</xdr:colOff>
      <xdr:row>19</xdr:row>
      <xdr:rowOff>277813</xdr:rowOff>
    </xdr:from>
    <xdr:to>
      <xdr:col>9</xdr:col>
      <xdr:colOff>39686</xdr:colOff>
      <xdr:row>19</xdr:row>
      <xdr:rowOff>509589</xdr:rowOff>
    </xdr:to>
    <xdr:sp macro="" textlink="">
      <xdr:nvSpPr>
        <xdr:cNvPr id="52" name="Rectángulo redondead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735541" y="5109105"/>
          <a:ext cx="1923520" cy="231776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retiro de asignaturas</a:t>
          </a:r>
        </a:p>
      </xdr:txBody>
    </xdr:sp>
    <xdr:clientData/>
  </xdr:twoCellAnchor>
  <xdr:twoCellAnchor>
    <xdr:from>
      <xdr:col>7</xdr:col>
      <xdr:colOff>320675</xdr:colOff>
      <xdr:row>19</xdr:row>
      <xdr:rowOff>508000</xdr:rowOff>
    </xdr:from>
    <xdr:to>
      <xdr:col>8</xdr:col>
      <xdr:colOff>87312</xdr:colOff>
      <xdr:row>23</xdr:row>
      <xdr:rowOff>69850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244725" y="5321300"/>
          <a:ext cx="90487" cy="768350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90488</xdr:colOff>
      <xdr:row>27</xdr:row>
      <xdr:rowOff>120649</xdr:rowOff>
    </xdr:from>
    <xdr:to>
      <xdr:col>27</xdr:col>
      <xdr:colOff>31750</xdr:colOff>
      <xdr:row>28</xdr:row>
      <xdr:rowOff>169332</xdr:rowOff>
    </xdr:to>
    <xdr:sp macro="" textlink="">
      <xdr:nvSpPr>
        <xdr:cNvPr id="59" name="Rectángulo redondead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710238" y="6920441"/>
          <a:ext cx="2179637" cy="233891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Estado de reprobación por Inasistencia</a:t>
          </a:r>
        </a:p>
      </xdr:txBody>
    </xdr:sp>
    <xdr:clientData/>
  </xdr:twoCellAnchor>
  <xdr:twoCellAnchor>
    <xdr:from>
      <xdr:col>25</xdr:col>
      <xdr:colOff>6350</xdr:colOff>
      <xdr:row>26</xdr:row>
      <xdr:rowOff>88900</xdr:rowOff>
    </xdr:from>
    <xdr:to>
      <xdr:col>25</xdr:col>
      <xdr:colOff>166688</xdr:colOff>
      <xdr:row>27</xdr:row>
      <xdr:rowOff>127000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7162800" y="6661150"/>
          <a:ext cx="160338" cy="222250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219074</xdr:colOff>
      <xdr:row>27</xdr:row>
      <xdr:rowOff>95249</xdr:rowOff>
    </xdr:from>
    <xdr:to>
      <xdr:col>36</xdr:col>
      <xdr:colOff>47625</xdr:colOff>
      <xdr:row>28</xdr:row>
      <xdr:rowOff>142875</xdr:rowOff>
    </xdr:to>
    <xdr:sp macro="" textlink="">
      <xdr:nvSpPr>
        <xdr:cNvPr id="62" name="Rectángulo redondead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458199" y="6895041"/>
          <a:ext cx="2066926" cy="232834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</a:t>
          </a:r>
          <a:r>
            <a:rPr lang="es-CL" sz="8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período suspensión académica</a:t>
          </a:r>
        </a:p>
      </xdr:txBody>
    </xdr:sp>
    <xdr:clientData/>
  </xdr:twoCellAnchor>
  <xdr:twoCellAnchor>
    <xdr:from>
      <xdr:col>32</xdr:col>
      <xdr:colOff>6350</xdr:colOff>
      <xdr:row>25</xdr:row>
      <xdr:rowOff>88900</xdr:rowOff>
    </xdr:from>
    <xdr:to>
      <xdr:col>32</xdr:col>
      <xdr:colOff>246062</xdr:colOff>
      <xdr:row>27</xdr:row>
      <xdr:rowOff>79375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9188450" y="6477000"/>
          <a:ext cx="239712" cy="358775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317500</xdr:colOff>
      <xdr:row>1</xdr:row>
      <xdr:rowOff>762000</xdr:rowOff>
    </xdr:from>
    <xdr:to>
      <xdr:col>36</xdr:col>
      <xdr:colOff>1587</xdr:colOff>
      <xdr:row>1</xdr:row>
      <xdr:rowOff>993776</xdr:rowOff>
    </xdr:to>
    <xdr:sp macro="" textlink="">
      <xdr:nvSpPr>
        <xdr:cNvPr id="77" name="Rectángulo redondead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8547100" y="946150"/>
          <a:ext cx="1919287" cy="231776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retiro de asignaturas</a:t>
          </a:r>
        </a:p>
      </xdr:txBody>
    </xdr:sp>
    <xdr:clientData/>
  </xdr:twoCellAnchor>
  <xdr:twoCellAnchor>
    <xdr:from>
      <xdr:col>20</xdr:col>
      <xdr:colOff>196850</xdr:colOff>
      <xdr:row>1</xdr:row>
      <xdr:rowOff>700356</xdr:rowOff>
    </xdr:from>
    <xdr:to>
      <xdr:col>27</xdr:col>
      <xdr:colOff>795</xdr:colOff>
      <xdr:row>1</xdr:row>
      <xdr:rowOff>943241</xdr:rowOff>
    </xdr:to>
    <xdr:sp macro="" textlink="">
      <xdr:nvSpPr>
        <xdr:cNvPr id="79" name="Rectángulo redondead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792788" y="878950"/>
          <a:ext cx="2030413" cy="242885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 período retiro de asignaturas</a:t>
          </a:r>
        </a:p>
      </xdr:txBody>
    </xdr:sp>
    <xdr:clientData/>
  </xdr:twoCellAnchor>
  <xdr:twoCellAnchor>
    <xdr:from>
      <xdr:col>21</xdr:col>
      <xdr:colOff>0</xdr:colOff>
      <xdr:row>1</xdr:row>
      <xdr:rowOff>1012031</xdr:rowOff>
    </xdr:from>
    <xdr:to>
      <xdr:col>21</xdr:col>
      <xdr:colOff>83343</xdr:colOff>
      <xdr:row>6</xdr:row>
      <xdr:rowOff>90714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flipH="1">
          <a:off x="5935738" y="1196483"/>
          <a:ext cx="83343" cy="947398"/>
        </a:xfrm>
        <a:prstGeom prst="line">
          <a:avLst/>
        </a:prstGeom>
        <a:ln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23</xdr:row>
      <xdr:rowOff>2047</xdr:rowOff>
    </xdr:from>
    <xdr:to>
      <xdr:col>35</xdr:col>
      <xdr:colOff>2761</xdr:colOff>
      <xdr:row>24</xdr:row>
      <xdr:rowOff>187738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28371" y="6032499"/>
          <a:ext cx="1868842" cy="370045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29</xdr:col>
      <xdr:colOff>977</xdr:colOff>
      <xdr:row>24</xdr:row>
      <xdr:rowOff>187442</xdr:rowOff>
    </xdr:from>
    <xdr:to>
      <xdr:col>29</xdr:col>
      <xdr:colOff>322385</xdr:colOff>
      <xdr:row>26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8231554" y="6394160"/>
          <a:ext cx="321408" cy="193558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19</xdr:col>
      <xdr:colOff>189271</xdr:colOff>
      <xdr:row>14</xdr:row>
      <xdr:rowOff>6349</xdr:rowOff>
    </xdr:from>
    <xdr:to>
      <xdr:col>26</xdr:col>
      <xdr:colOff>1532</xdr:colOff>
      <xdr:row>15</xdr:row>
      <xdr:rowOff>188452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611352" y="3863462"/>
          <a:ext cx="1868841" cy="372603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19</xdr:col>
      <xdr:colOff>188043</xdr:colOff>
      <xdr:row>15</xdr:row>
      <xdr:rowOff>189475</xdr:rowOff>
    </xdr:from>
    <xdr:to>
      <xdr:col>22</xdr:col>
      <xdr:colOff>1</xdr:colOff>
      <xdr:row>17</xdr:row>
      <xdr:rowOff>0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610124" y="4237088"/>
          <a:ext cx="649748" cy="191525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105834</xdr:colOff>
      <xdr:row>1</xdr:row>
      <xdr:rowOff>0</xdr:rowOff>
    </xdr:from>
    <xdr:to>
      <xdr:col>2</xdr:col>
      <xdr:colOff>1565064</xdr:colOff>
      <xdr:row>2</xdr:row>
      <xdr:rowOff>206576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23" y="0"/>
          <a:ext cx="1459230" cy="390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36916</xdr:colOff>
      <xdr:row>0</xdr:row>
      <xdr:rowOff>176389</xdr:rowOff>
    </xdr:from>
    <xdr:ext cx="1576081" cy="345721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916" y="176389"/>
          <a:ext cx="1576081" cy="34572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71614</xdr:colOff>
      <xdr:row>4</xdr:row>
      <xdr:rowOff>77611</xdr:rowOff>
    </xdr:from>
    <xdr:to>
      <xdr:col>10</xdr:col>
      <xdr:colOff>265433</xdr:colOff>
      <xdr:row>5</xdr:row>
      <xdr:rowOff>46213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7A3E8-12F7-4AA4-9C85-51816D32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058" y="239889"/>
          <a:ext cx="2112931" cy="515055"/>
        </a:xfrm>
        <a:prstGeom prst="rect">
          <a:avLst/>
        </a:prstGeom>
      </xdr:spPr>
    </xdr:pic>
    <xdr:clientData/>
  </xdr:twoCellAnchor>
  <xdr:twoCellAnchor>
    <xdr:from>
      <xdr:col>19</xdr:col>
      <xdr:colOff>599723</xdr:colOff>
      <xdr:row>6</xdr:row>
      <xdr:rowOff>20812</xdr:rowOff>
    </xdr:from>
    <xdr:to>
      <xdr:col>26</xdr:col>
      <xdr:colOff>275166</xdr:colOff>
      <xdr:row>7</xdr:row>
      <xdr:rowOff>14111</xdr:rowOff>
    </xdr:to>
    <xdr:sp macro="" textlink="">
      <xdr:nvSpPr>
        <xdr:cNvPr id="3" name="Rectángulo redondeado 78">
          <a:extLst>
            <a:ext uri="{FF2B5EF4-FFF2-40B4-BE49-F238E27FC236}">
              <a16:creationId xmlns:a16="http://schemas.microsoft.com/office/drawing/2014/main" id="{04C6C630-D3A6-48BF-A7DA-3AC389962FF4}"/>
            </a:ext>
          </a:extLst>
        </xdr:cNvPr>
        <xdr:cNvSpPr/>
      </xdr:nvSpPr>
      <xdr:spPr>
        <a:xfrm>
          <a:off x="6561667" y="909812"/>
          <a:ext cx="1975555" cy="226132"/>
        </a:xfrm>
        <a:prstGeom prst="roundRect">
          <a:avLst>
            <a:gd name="adj" fmla="val 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 período retiro de asignaturas</a:t>
          </a:r>
        </a:p>
      </xdr:txBody>
    </xdr:sp>
    <xdr:clientData/>
  </xdr:twoCellAnchor>
  <xdr:twoCellAnchor>
    <xdr:from>
      <xdr:col>20</xdr:col>
      <xdr:colOff>204611</xdr:colOff>
      <xdr:row>7</xdr:row>
      <xdr:rowOff>10230</xdr:rowOff>
    </xdr:from>
    <xdr:to>
      <xdr:col>21</xdr:col>
      <xdr:colOff>56444</xdr:colOff>
      <xdr:row>11</xdr:row>
      <xdr:rowOff>155222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DC06893-D3C5-419C-AFCC-6CB4BA34E2A6}"/>
            </a:ext>
          </a:extLst>
        </xdr:cNvPr>
        <xdr:cNvCxnSpPr/>
      </xdr:nvCxnSpPr>
      <xdr:spPr>
        <a:xfrm flipH="1">
          <a:off x="6773333" y="1132063"/>
          <a:ext cx="134055" cy="1055159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575030</xdr:colOff>
      <xdr:row>6</xdr:row>
      <xdr:rowOff>18343</xdr:rowOff>
    </xdr:from>
    <xdr:to>
      <xdr:col>34</xdr:col>
      <xdr:colOff>261057</xdr:colOff>
      <xdr:row>7</xdr:row>
      <xdr:rowOff>7056</xdr:rowOff>
    </xdr:to>
    <xdr:sp macro="" textlink="">
      <xdr:nvSpPr>
        <xdr:cNvPr id="5" name="Rectángulo redondeado 78">
          <a:extLst>
            <a:ext uri="{FF2B5EF4-FFF2-40B4-BE49-F238E27FC236}">
              <a16:creationId xmlns:a16="http://schemas.microsoft.com/office/drawing/2014/main" id="{4F9A0745-D7AE-4B61-A347-C817BB63F423}"/>
            </a:ext>
          </a:extLst>
        </xdr:cNvPr>
        <xdr:cNvSpPr/>
      </xdr:nvSpPr>
      <xdr:spPr>
        <a:xfrm>
          <a:off x="9119308" y="907343"/>
          <a:ext cx="1986138" cy="221546"/>
        </a:xfrm>
        <a:prstGeom prst="roundRect">
          <a:avLst>
            <a:gd name="adj" fmla="val 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retiro de asignaturas</a:t>
          </a:r>
        </a:p>
      </xdr:txBody>
    </xdr:sp>
    <xdr:clientData/>
  </xdr:twoCellAnchor>
  <xdr:twoCellAnchor>
    <xdr:from>
      <xdr:col>32</xdr:col>
      <xdr:colOff>88548</xdr:colOff>
      <xdr:row>7</xdr:row>
      <xdr:rowOff>7408</xdr:rowOff>
    </xdr:from>
    <xdr:to>
      <xdr:col>33</xdr:col>
      <xdr:colOff>77391</xdr:colOff>
      <xdr:row>11</xdr:row>
      <xdr:rowOff>160734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8F4A3571-C18A-4CD5-89C1-8A8674ECADED}"/>
            </a:ext>
          </a:extLst>
        </xdr:cNvPr>
        <xdr:cNvCxnSpPr/>
      </xdr:nvCxnSpPr>
      <xdr:spPr>
        <a:xfrm>
          <a:off x="10024314" y="1126596"/>
          <a:ext cx="262686" cy="968904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602899</xdr:colOff>
      <xdr:row>15</xdr:row>
      <xdr:rowOff>105833</xdr:rowOff>
    </xdr:from>
    <xdr:to>
      <xdr:col>27</xdr:col>
      <xdr:colOff>10936</xdr:colOff>
      <xdr:row>16</xdr:row>
      <xdr:rowOff>119944</xdr:rowOff>
    </xdr:to>
    <xdr:sp macro="" textlink="">
      <xdr:nvSpPr>
        <xdr:cNvPr id="7" name="Rectángulo redondeado 4">
          <a:extLst>
            <a:ext uri="{FF2B5EF4-FFF2-40B4-BE49-F238E27FC236}">
              <a16:creationId xmlns:a16="http://schemas.microsoft.com/office/drawing/2014/main" id="{B6E6F397-5AEE-4CFE-80A4-880B651C281B}"/>
            </a:ext>
          </a:extLst>
        </xdr:cNvPr>
        <xdr:cNvSpPr/>
      </xdr:nvSpPr>
      <xdr:spPr>
        <a:xfrm>
          <a:off x="6564843" y="2942166"/>
          <a:ext cx="1990371" cy="211667"/>
        </a:xfrm>
        <a:prstGeom prst="roundRect">
          <a:avLst>
            <a:gd name="adj" fmla="val 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suspensión</a:t>
          </a:r>
          <a:r>
            <a:rPr lang="es-CL" sz="8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académica</a:t>
          </a:r>
          <a:endParaRPr lang="es-CL" sz="800" b="1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211667</xdr:colOff>
      <xdr:row>13</xdr:row>
      <xdr:rowOff>169334</xdr:rowOff>
    </xdr:from>
    <xdr:to>
      <xdr:col>21</xdr:col>
      <xdr:colOff>63500</xdr:colOff>
      <xdr:row>15</xdr:row>
      <xdr:rowOff>98778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E948C8D-7679-488B-8CED-88C32BC4E3C9}"/>
            </a:ext>
          </a:extLst>
        </xdr:cNvPr>
        <xdr:cNvCxnSpPr/>
      </xdr:nvCxnSpPr>
      <xdr:spPr>
        <a:xfrm flipH="1" flipV="1">
          <a:off x="6780389" y="2603501"/>
          <a:ext cx="134055" cy="33161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576217</xdr:colOff>
      <xdr:row>26</xdr:row>
      <xdr:rowOff>92031</xdr:rowOff>
    </xdr:from>
    <xdr:to>
      <xdr:col>27</xdr:col>
      <xdr:colOff>7058</xdr:colOff>
      <xdr:row>27</xdr:row>
      <xdr:rowOff>134056</xdr:rowOff>
    </xdr:to>
    <xdr:sp macro="" textlink="">
      <xdr:nvSpPr>
        <xdr:cNvPr id="11" name="Rectángulo redondeado 38">
          <a:extLst>
            <a:ext uri="{FF2B5EF4-FFF2-40B4-BE49-F238E27FC236}">
              <a16:creationId xmlns:a16="http://schemas.microsoft.com/office/drawing/2014/main" id="{81B96D41-A8FC-4C4B-AC97-2224E80CCA14}"/>
            </a:ext>
          </a:extLst>
        </xdr:cNvPr>
        <xdr:cNvSpPr/>
      </xdr:nvSpPr>
      <xdr:spPr>
        <a:xfrm>
          <a:off x="6538161" y="5235531"/>
          <a:ext cx="2013175" cy="246636"/>
        </a:xfrm>
        <a:prstGeom prst="roundRect">
          <a:avLst>
            <a:gd name="adj" fmla="val 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</a:t>
          </a:r>
          <a:r>
            <a:rPr lang="es-CL" sz="8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período suspensión académica</a:t>
          </a:r>
        </a:p>
      </xdr:txBody>
    </xdr:sp>
    <xdr:clientData/>
  </xdr:twoCellAnchor>
  <xdr:twoCellAnchor>
    <xdr:from>
      <xdr:col>24</xdr:col>
      <xdr:colOff>202334</xdr:colOff>
      <xdr:row>24</xdr:row>
      <xdr:rowOff>163368</xdr:rowOff>
    </xdr:from>
    <xdr:to>
      <xdr:col>25</xdr:col>
      <xdr:colOff>41672</xdr:colOff>
      <xdr:row>26</xdr:row>
      <xdr:rowOff>89297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B7BC61C1-3E1D-4084-BFB9-4574F2EA0766}"/>
            </a:ext>
          </a:extLst>
        </xdr:cNvPr>
        <xdr:cNvCxnSpPr/>
      </xdr:nvCxnSpPr>
      <xdr:spPr>
        <a:xfrm>
          <a:off x="7738990" y="4604399"/>
          <a:ext cx="113182" cy="33074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599722</xdr:colOff>
      <xdr:row>16</xdr:row>
      <xdr:rowOff>188695</xdr:rowOff>
    </xdr:from>
    <xdr:to>
      <xdr:col>34</xdr:col>
      <xdr:colOff>268111</xdr:colOff>
      <xdr:row>18</xdr:row>
      <xdr:rowOff>21167</xdr:rowOff>
    </xdr:to>
    <xdr:sp macro="" textlink="">
      <xdr:nvSpPr>
        <xdr:cNvPr id="13" name="Rectángulo redondeado 35">
          <a:extLst>
            <a:ext uri="{FF2B5EF4-FFF2-40B4-BE49-F238E27FC236}">
              <a16:creationId xmlns:a16="http://schemas.microsoft.com/office/drawing/2014/main" id="{1ABAB64B-9468-4DBD-B307-C56FDA8265B0}"/>
            </a:ext>
          </a:extLst>
        </xdr:cNvPr>
        <xdr:cNvSpPr/>
      </xdr:nvSpPr>
      <xdr:spPr>
        <a:xfrm>
          <a:off x="9144000" y="3222584"/>
          <a:ext cx="1968500" cy="220527"/>
        </a:xfrm>
        <a:prstGeom prst="roundRect">
          <a:avLst>
            <a:gd name="adj" fmla="val 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Inicio período retiro de asignaturas</a:t>
          </a:r>
        </a:p>
      </xdr:txBody>
    </xdr:sp>
    <xdr:clientData/>
  </xdr:twoCellAnchor>
  <xdr:twoCellAnchor>
    <xdr:from>
      <xdr:col>28</xdr:col>
      <xdr:colOff>204611</xdr:colOff>
      <xdr:row>18</xdr:row>
      <xdr:rowOff>21168</xdr:rowOff>
    </xdr:from>
    <xdr:to>
      <xdr:col>29</xdr:col>
      <xdr:colOff>127000</xdr:colOff>
      <xdr:row>23</xdr:row>
      <xdr:rowOff>155222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3BC0797C-AB38-47FA-B527-2FC47C25275D}"/>
            </a:ext>
          </a:extLst>
        </xdr:cNvPr>
        <xdr:cNvCxnSpPr/>
      </xdr:nvCxnSpPr>
      <xdr:spPr>
        <a:xfrm flipH="1">
          <a:off x="9355667" y="3443112"/>
          <a:ext cx="204611" cy="124177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596739</xdr:colOff>
      <xdr:row>27</xdr:row>
      <xdr:rowOff>84668</xdr:rowOff>
    </xdr:from>
    <xdr:to>
      <xdr:col>35</xdr:col>
      <xdr:colOff>0</xdr:colOff>
      <xdr:row>27</xdr:row>
      <xdr:rowOff>331612</xdr:rowOff>
    </xdr:to>
    <xdr:sp macro="" textlink="">
      <xdr:nvSpPr>
        <xdr:cNvPr id="15" name="Rectángulo redondeado 47">
          <a:extLst>
            <a:ext uri="{FF2B5EF4-FFF2-40B4-BE49-F238E27FC236}">
              <a16:creationId xmlns:a16="http://schemas.microsoft.com/office/drawing/2014/main" id="{8FE13D49-DDC7-4517-BBF4-E26829234D9B}"/>
            </a:ext>
          </a:extLst>
        </xdr:cNvPr>
        <xdr:cNvSpPr/>
      </xdr:nvSpPr>
      <xdr:spPr>
        <a:xfrm>
          <a:off x="9141017" y="5432779"/>
          <a:ext cx="1985594" cy="246944"/>
        </a:xfrm>
        <a:prstGeom prst="roundRect">
          <a:avLst>
            <a:gd name="adj" fmla="val 7895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suspensión académica</a:t>
          </a:r>
        </a:p>
      </xdr:txBody>
    </xdr:sp>
    <xdr:clientData/>
  </xdr:twoCellAnchor>
  <xdr:twoCellAnchor>
    <xdr:from>
      <xdr:col>28</xdr:col>
      <xdr:colOff>212147</xdr:colOff>
      <xdr:row>25</xdr:row>
      <xdr:rowOff>164522</xdr:rowOff>
    </xdr:from>
    <xdr:to>
      <xdr:col>29</xdr:col>
      <xdr:colOff>190500</xdr:colOff>
      <xdr:row>27</xdr:row>
      <xdr:rowOff>88547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9DFB1401-C986-4EC5-830B-A124A4AAC2B2}"/>
            </a:ext>
          </a:extLst>
        </xdr:cNvPr>
        <xdr:cNvCxnSpPr/>
      </xdr:nvCxnSpPr>
      <xdr:spPr>
        <a:xfrm>
          <a:off x="9122352" y="5186795"/>
          <a:ext cx="255443" cy="32234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199673</xdr:colOff>
      <xdr:row>35</xdr:row>
      <xdr:rowOff>141112</xdr:rowOff>
    </xdr:from>
    <xdr:to>
      <xdr:col>10</xdr:col>
      <xdr:colOff>206552</xdr:colOff>
      <xdr:row>36</xdr:row>
      <xdr:rowOff>133351</xdr:rowOff>
    </xdr:to>
    <xdr:sp macro="" textlink="">
      <xdr:nvSpPr>
        <xdr:cNvPr id="17" name="Rectángulo redondeado 51">
          <a:extLst>
            <a:ext uri="{FF2B5EF4-FFF2-40B4-BE49-F238E27FC236}">
              <a16:creationId xmlns:a16="http://schemas.microsoft.com/office/drawing/2014/main" id="{BE1C4318-4ECA-4184-8736-199FF9D9BBB9}"/>
            </a:ext>
          </a:extLst>
        </xdr:cNvPr>
        <xdr:cNvSpPr/>
      </xdr:nvSpPr>
      <xdr:spPr>
        <a:xfrm>
          <a:off x="1266473" y="7046737"/>
          <a:ext cx="1883304" cy="192264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Fin período retiro de asignaturas</a:t>
          </a:r>
        </a:p>
      </xdr:txBody>
    </xdr:sp>
    <xdr:clientData/>
  </xdr:twoCellAnchor>
  <xdr:twoCellAnchor>
    <xdr:from>
      <xdr:col>8</xdr:col>
      <xdr:colOff>190629</xdr:colOff>
      <xdr:row>31</xdr:row>
      <xdr:rowOff>160193</xdr:rowOff>
    </xdr:from>
    <xdr:to>
      <xdr:col>9</xdr:col>
      <xdr:colOff>77931</xdr:colOff>
      <xdr:row>35</xdr:row>
      <xdr:rowOff>139700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AF8C145E-0DC5-4FF3-8DC3-E41CE220CD57}"/>
            </a:ext>
          </a:extLst>
        </xdr:cNvPr>
        <xdr:cNvCxnSpPr/>
      </xdr:nvCxnSpPr>
      <xdr:spPr>
        <a:xfrm flipH="1">
          <a:off x="2584868" y="6663170"/>
          <a:ext cx="164393" cy="776144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539974</xdr:colOff>
      <xdr:row>35</xdr:row>
      <xdr:rowOff>123118</xdr:rowOff>
    </xdr:from>
    <xdr:to>
      <xdr:col>35</xdr:col>
      <xdr:colOff>63500</xdr:colOff>
      <xdr:row>36</xdr:row>
      <xdr:rowOff>190500</xdr:rowOff>
    </xdr:to>
    <xdr:sp macro="" textlink="">
      <xdr:nvSpPr>
        <xdr:cNvPr id="19" name="Rectángulo redondeado 4">
          <a:extLst>
            <a:ext uri="{FF2B5EF4-FFF2-40B4-BE49-F238E27FC236}">
              <a16:creationId xmlns:a16="http://schemas.microsoft.com/office/drawing/2014/main" id="{993AFB86-85B9-4AAC-A84E-E6312C3A1D6E}"/>
            </a:ext>
          </a:extLst>
        </xdr:cNvPr>
        <xdr:cNvSpPr/>
      </xdr:nvSpPr>
      <xdr:spPr>
        <a:xfrm>
          <a:off x="9084252" y="7489118"/>
          <a:ext cx="2105859" cy="264938"/>
        </a:xfrm>
        <a:prstGeom prst="roundRect">
          <a:avLst>
            <a:gd name="adj" fmla="val 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Estado de reprobación por inasistencia</a:t>
          </a:r>
        </a:p>
      </xdr:txBody>
    </xdr:sp>
    <xdr:clientData/>
  </xdr:twoCellAnchor>
  <xdr:twoCellAnchor>
    <xdr:from>
      <xdr:col>32</xdr:col>
      <xdr:colOff>148167</xdr:colOff>
      <xdr:row>30</xdr:row>
      <xdr:rowOff>176388</xdr:rowOff>
    </xdr:from>
    <xdr:to>
      <xdr:col>33</xdr:col>
      <xdr:colOff>112889</xdr:colOff>
      <xdr:row>35</xdr:row>
      <xdr:rowOff>127000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8F962DE4-B71E-4026-A1ED-46DD50D8DFF1}"/>
            </a:ext>
          </a:extLst>
        </xdr:cNvPr>
        <xdr:cNvCxnSpPr/>
      </xdr:nvCxnSpPr>
      <xdr:spPr>
        <a:xfrm flipH="1">
          <a:off x="10428111" y="6533444"/>
          <a:ext cx="246945" cy="96661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536229</xdr:colOff>
      <xdr:row>16</xdr:row>
      <xdr:rowOff>187397</xdr:rowOff>
    </xdr:from>
    <xdr:to>
      <xdr:col>27</xdr:col>
      <xdr:colOff>63506</xdr:colOff>
      <xdr:row>18</xdr:row>
      <xdr:rowOff>42333</xdr:rowOff>
    </xdr:to>
    <xdr:sp macro="" textlink="">
      <xdr:nvSpPr>
        <xdr:cNvPr id="21" name="Rectángulo redondeado 4">
          <a:extLst>
            <a:ext uri="{FF2B5EF4-FFF2-40B4-BE49-F238E27FC236}">
              <a16:creationId xmlns:a16="http://schemas.microsoft.com/office/drawing/2014/main" id="{7B08A83B-45F9-4459-9B28-8D95BD6ED79C}"/>
            </a:ext>
          </a:extLst>
        </xdr:cNvPr>
        <xdr:cNvSpPr/>
      </xdr:nvSpPr>
      <xdr:spPr>
        <a:xfrm>
          <a:off x="6498173" y="3221286"/>
          <a:ext cx="2109611" cy="242991"/>
        </a:xfrm>
        <a:prstGeom prst="roundRect">
          <a:avLst>
            <a:gd name="adj" fmla="val 0"/>
          </a:avLst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8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Estado de reprobación por inasistencia</a:t>
          </a:r>
        </a:p>
      </xdr:txBody>
    </xdr:sp>
    <xdr:clientData/>
  </xdr:twoCellAnchor>
  <xdr:twoCellAnchor>
    <xdr:from>
      <xdr:col>25</xdr:col>
      <xdr:colOff>192705</xdr:colOff>
      <xdr:row>18</xdr:row>
      <xdr:rowOff>35278</xdr:rowOff>
    </xdr:from>
    <xdr:to>
      <xdr:col>26</xdr:col>
      <xdr:colOff>134055</xdr:colOff>
      <xdr:row>21</xdr:row>
      <xdr:rowOff>156544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24DB53AC-EE65-4947-8C19-C80249E001EA}"/>
            </a:ext>
          </a:extLst>
        </xdr:cNvPr>
        <xdr:cNvCxnSpPr/>
      </xdr:nvCxnSpPr>
      <xdr:spPr>
        <a:xfrm flipH="1">
          <a:off x="8172538" y="3457222"/>
          <a:ext cx="223573" cy="82682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Tucapel G." id="{1E0F33AA-1FBA-4BDD-A5CA-C90D112849CF}" userId="S::ctucapel@duoc.cl::b6474729-3cfd-4b48-8de3-939c638dcda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7" dT="2025-07-22T13:01:40.97" personId="{1E0F33AA-1FBA-4BDD-A5CA-C90D112849CF}" id="{28C26CEE-96A5-49FD-B6BA-BA8CBDED54F4}">
    <text>31-01-2026 último día hábil de enero</text>
  </threadedComment>
  <threadedComment ref="I37" dT="2025-07-22T13:07:36.23" personId="{1E0F33AA-1FBA-4BDD-A5CA-C90D112849CF}" id="{0205E344-06E3-4F51-89D9-1A34018D1FD7}">
    <text>Último día hábil antes del inicio de clases</text>
  </threadedComment>
  <threadedComment ref="H38" dT="2026-08-11T15:49:36.54" personId="{1E0F33AA-1FBA-4BDD-A5CA-C90D112849CF}" id="{13290D9B-CA77-40CA-9F39-E1383035A275}">
    <text>Día post cierre semestre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9">
    <pageSetUpPr fitToPage="1"/>
  </sheetPr>
  <dimension ref="B1:AM40"/>
  <sheetViews>
    <sheetView showGridLines="0" zoomScale="80" zoomScaleNormal="80" workbookViewId="0">
      <selection activeCell="B1" sqref="B1:AJ2"/>
    </sheetView>
  </sheetViews>
  <sheetFormatPr baseColWidth="10" defaultColWidth="8.7265625" defaultRowHeight="14.5"/>
  <cols>
    <col min="1" max="1" width="2.7265625" customWidth="1"/>
    <col min="2" max="2" width="2.7265625" style="14" customWidth="1"/>
    <col min="3" max="4" width="4.6328125" bestFit="1" customWidth="1"/>
    <col min="5" max="5" width="4.36328125" bestFit="1" customWidth="1"/>
    <col min="6" max="6" width="4.453125" bestFit="1" customWidth="1"/>
    <col min="7" max="7" width="4" bestFit="1" customWidth="1"/>
    <col min="8" max="8" width="4.6328125" bestFit="1" customWidth="1"/>
    <col min="9" max="9" width="5.26953125" bestFit="1" customWidth="1"/>
    <col min="10" max="10" width="2.7265625" customWidth="1"/>
    <col min="11" max="11" width="2.7265625" style="14" customWidth="1"/>
    <col min="12" max="13" width="4.6328125" bestFit="1" customWidth="1"/>
    <col min="14" max="14" width="4.36328125" bestFit="1" customWidth="1"/>
    <col min="15" max="15" width="4.453125" bestFit="1" customWidth="1"/>
    <col min="16" max="16" width="4" bestFit="1" customWidth="1"/>
    <col min="17" max="17" width="4.6328125" bestFit="1" customWidth="1"/>
    <col min="18" max="18" width="5.26953125" bestFit="1" customWidth="1"/>
    <col min="19" max="20" width="2.7265625" customWidth="1"/>
    <col min="21" max="22" width="4.6328125" bestFit="1" customWidth="1"/>
    <col min="23" max="23" width="4.36328125" bestFit="1" customWidth="1"/>
    <col min="24" max="24" width="4.453125" bestFit="1" customWidth="1"/>
    <col min="25" max="25" width="4" bestFit="1" customWidth="1"/>
    <col min="26" max="26" width="4.6328125" bestFit="1" customWidth="1"/>
    <col min="27" max="27" width="5.26953125" bestFit="1" customWidth="1"/>
    <col min="28" max="29" width="2.7265625" customWidth="1"/>
    <col min="30" max="31" width="4.6328125" bestFit="1" customWidth="1"/>
    <col min="32" max="32" width="4.36328125" bestFit="1" customWidth="1"/>
    <col min="33" max="33" width="4.453125" bestFit="1" customWidth="1"/>
    <col min="34" max="34" width="4" bestFit="1" customWidth="1"/>
    <col min="35" max="35" width="4.6328125" bestFit="1" customWidth="1"/>
    <col min="36" max="36" width="5.26953125" bestFit="1" customWidth="1"/>
  </cols>
  <sheetData>
    <row r="1" spans="2:38" ht="14.5" customHeight="1">
      <c r="B1" s="367" t="s">
        <v>20</v>
      </c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16"/>
      <c r="AL1" s="16"/>
    </row>
    <row r="2" spans="2:38" ht="84.5" customHeight="1"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  <c r="AA2" s="367"/>
      <c r="AB2" s="367"/>
      <c r="AC2" s="367"/>
      <c r="AD2" s="367"/>
      <c r="AE2" s="367"/>
      <c r="AF2" s="367"/>
      <c r="AG2" s="367"/>
      <c r="AH2" s="367"/>
      <c r="AI2" s="367"/>
      <c r="AJ2" s="367"/>
      <c r="AK2" s="16"/>
      <c r="AL2" s="16"/>
    </row>
    <row r="3" spans="2:38" ht="18">
      <c r="B3" s="356" t="s">
        <v>19</v>
      </c>
      <c r="C3" s="87"/>
      <c r="D3" s="88"/>
      <c r="E3" s="376" t="s">
        <v>0</v>
      </c>
      <c r="F3" s="377"/>
      <c r="G3" s="377"/>
      <c r="H3" s="88"/>
      <c r="I3" s="89"/>
      <c r="K3" s="356" t="s">
        <v>19</v>
      </c>
      <c r="L3" s="102"/>
      <c r="M3" s="103"/>
      <c r="N3" s="354" t="s">
        <v>8</v>
      </c>
      <c r="O3" s="355"/>
      <c r="P3" s="355"/>
      <c r="Q3" s="103"/>
      <c r="R3" s="104"/>
      <c r="T3" s="356" t="s">
        <v>19</v>
      </c>
      <c r="U3" s="102"/>
      <c r="V3" s="103"/>
      <c r="W3" s="354" t="s">
        <v>9</v>
      </c>
      <c r="X3" s="355"/>
      <c r="Y3" s="355"/>
      <c r="Z3" s="103"/>
      <c r="AA3" s="104"/>
      <c r="AC3" s="356" t="s">
        <v>19</v>
      </c>
      <c r="AD3" s="102"/>
      <c r="AE3" s="103"/>
      <c r="AF3" s="354" t="s">
        <v>10</v>
      </c>
      <c r="AG3" s="355"/>
      <c r="AH3" s="355"/>
      <c r="AI3" s="103"/>
      <c r="AJ3" s="104"/>
    </row>
    <row r="4" spans="2:38">
      <c r="B4" s="356"/>
      <c r="C4" s="90" t="s">
        <v>1</v>
      </c>
      <c r="D4" s="62" t="s">
        <v>2</v>
      </c>
      <c r="E4" s="62" t="s">
        <v>3</v>
      </c>
      <c r="F4" s="62" t="s">
        <v>4</v>
      </c>
      <c r="G4" s="62" t="s">
        <v>5</v>
      </c>
      <c r="H4" s="62" t="s">
        <v>6</v>
      </c>
      <c r="I4" s="91" t="s">
        <v>7</v>
      </c>
      <c r="K4" s="356"/>
      <c r="L4" s="105" t="s">
        <v>1</v>
      </c>
      <c r="M4" s="63" t="s">
        <v>2</v>
      </c>
      <c r="N4" s="63" t="s">
        <v>3</v>
      </c>
      <c r="O4" s="63" t="s">
        <v>4</v>
      </c>
      <c r="P4" s="63" t="s">
        <v>5</v>
      </c>
      <c r="Q4" s="64" t="s">
        <v>6</v>
      </c>
      <c r="R4" s="106" t="s">
        <v>7</v>
      </c>
      <c r="T4" s="356"/>
      <c r="U4" s="105" t="s">
        <v>1</v>
      </c>
      <c r="V4" s="63" t="s">
        <v>2</v>
      </c>
      <c r="W4" s="63" t="s">
        <v>3</v>
      </c>
      <c r="X4" s="63" t="s">
        <v>4</v>
      </c>
      <c r="Y4" s="63" t="s">
        <v>5</v>
      </c>
      <c r="Z4" s="64" t="s">
        <v>6</v>
      </c>
      <c r="AA4" s="106" t="s">
        <v>7</v>
      </c>
      <c r="AC4" s="356"/>
      <c r="AD4" s="105" t="s">
        <v>1</v>
      </c>
      <c r="AE4" s="63" t="s">
        <v>2</v>
      </c>
      <c r="AF4" s="63" t="s">
        <v>3</v>
      </c>
      <c r="AG4" s="63" t="s">
        <v>4</v>
      </c>
      <c r="AH4" s="63" t="s">
        <v>5</v>
      </c>
      <c r="AI4" s="64" t="s">
        <v>6</v>
      </c>
      <c r="AJ4" s="106" t="s">
        <v>7</v>
      </c>
    </row>
    <row r="5" spans="2:38" ht="15" thickBot="1">
      <c r="C5" s="92"/>
      <c r="D5" s="1"/>
      <c r="E5" s="8"/>
      <c r="F5" s="2">
        <v>46023</v>
      </c>
      <c r="G5" s="2">
        <v>46024</v>
      </c>
      <c r="H5" s="2">
        <v>46025</v>
      </c>
      <c r="I5" s="2">
        <v>46026</v>
      </c>
      <c r="K5" s="15">
        <v>4</v>
      </c>
      <c r="L5" s="92"/>
      <c r="M5" s="3"/>
      <c r="N5" s="3"/>
      <c r="O5" s="3"/>
      <c r="P5" s="1"/>
      <c r="Q5" s="17">
        <v>45689</v>
      </c>
      <c r="R5" s="93">
        <v>45690</v>
      </c>
      <c r="U5" s="113"/>
      <c r="V5" s="33"/>
      <c r="W5" s="33"/>
      <c r="X5" s="33"/>
      <c r="Y5" s="34"/>
      <c r="Z5" s="35">
        <v>45717</v>
      </c>
      <c r="AA5" s="93">
        <v>45718</v>
      </c>
      <c r="AC5" s="15">
        <v>4</v>
      </c>
      <c r="AD5" s="120"/>
      <c r="AE5" s="27">
        <v>45748</v>
      </c>
      <c r="AF5" s="28">
        <v>45749</v>
      </c>
      <c r="AG5" s="28">
        <v>45750</v>
      </c>
      <c r="AH5" s="28">
        <v>45751</v>
      </c>
      <c r="AI5" s="49">
        <v>45752</v>
      </c>
      <c r="AJ5" s="93">
        <v>45753</v>
      </c>
    </row>
    <row r="6" spans="2:38" ht="15" thickBot="1">
      <c r="B6" s="15">
        <v>1</v>
      </c>
      <c r="C6" s="94">
        <v>45663</v>
      </c>
      <c r="D6" s="46">
        <v>45664</v>
      </c>
      <c r="E6" s="46">
        <v>45665</v>
      </c>
      <c r="F6" s="46">
        <v>45666</v>
      </c>
      <c r="G6" s="21">
        <v>45667</v>
      </c>
      <c r="H6" s="21">
        <v>45668</v>
      </c>
      <c r="I6" s="93">
        <v>45669</v>
      </c>
      <c r="K6" s="15">
        <v>5</v>
      </c>
      <c r="L6" s="107">
        <v>45691</v>
      </c>
      <c r="M6" s="24">
        <v>45692</v>
      </c>
      <c r="N6" s="24">
        <v>45693</v>
      </c>
      <c r="O6" s="24">
        <v>45694</v>
      </c>
      <c r="P6" s="24">
        <v>45695</v>
      </c>
      <c r="Q6" s="18">
        <v>45696</v>
      </c>
      <c r="R6" s="93">
        <v>45697</v>
      </c>
      <c r="U6" s="114">
        <v>45719</v>
      </c>
      <c r="V6" s="41">
        <v>45720</v>
      </c>
      <c r="W6" s="41">
        <v>45721</v>
      </c>
      <c r="X6" s="41">
        <v>45722</v>
      </c>
      <c r="Y6" s="41">
        <v>45723</v>
      </c>
      <c r="Z6" s="42">
        <v>45724</v>
      </c>
      <c r="AA6" s="115">
        <v>45725</v>
      </c>
      <c r="AC6" s="15">
        <v>5</v>
      </c>
      <c r="AD6" s="116">
        <v>45754</v>
      </c>
      <c r="AE6" s="24">
        <v>45755</v>
      </c>
      <c r="AF6" s="24">
        <v>45756</v>
      </c>
      <c r="AG6" s="24">
        <v>45757</v>
      </c>
      <c r="AH6" s="76">
        <v>45758</v>
      </c>
      <c r="AI6" s="75">
        <v>45759</v>
      </c>
      <c r="AJ6" s="115">
        <v>45760</v>
      </c>
    </row>
    <row r="7" spans="2:38">
      <c r="B7" s="15">
        <v>2</v>
      </c>
      <c r="C7" s="95">
        <v>45670</v>
      </c>
      <c r="D7" s="65">
        <v>45671</v>
      </c>
      <c r="E7" s="66">
        <v>45672</v>
      </c>
      <c r="F7" s="67">
        <v>45673</v>
      </c>
      <c r="G7" s="45">
        <v>45674</v>
      </c>
      <c r="H7" s="22">
        <v>45675</v>
      </c>
      <c r="I7" s="93">
        <v>45676</v>
      </c>
      <c r="K7" s="15">
        <v>6</v>
      </c>
      <c r="L7" s="108">
        <v>45698</v>
      </c>
      <c r="M7" s="47">
        <v>45699</v>
      </c>
      <c r="N7" s="4">
        <v>45700</v>
      </c>
      <c r="O7" s="4">
        <v>45701</v>
      </c>
      <c r="P7" s="4">
        <v>45702</v>
      </c>
      <c r="Q7" s="19">
        <v>45703</v>
      </c>
      <c r="R7" s="93">
        <v>45704</v>
      </c>
      <c r="T7" s="15">
        <v>1</v>
      </c>
      <c r="U7" s="75">
        <v>45726</v>
      </c>
      <c r="V7" s="78">
        <v>45727</v>
      </c>
      <c r="W7" s="24">
        <v>45728</v>
      </c>
      <c r="X7" s="24">
        <v>45729</v>
      </c>
      <c r="Y7" s="43">
        <v>45730</v>
      </c>
      <c r="Z7" s="24">
        <v>45731</v>
      </c>
      <c r="AA7" s="93">
        <v>45732</v>
      </c>
      <c r="AC7" s="15">
        <v>6</v>
      </c>
      <c r="AD7" s="121">
        <v>45761</v>
      </c>
      <c r="AE7" s="25">
        <v>45762</v>
      </c>
      <c r="AF7" s="25">
        <v>45763</v>
      </c>
      <c r="AG7" s="25">
        <v>45764</v>
      </c>
      <c r="AH7" s="9">
        <v>45765</v>
      </c>
      <c r="AI7" s="40">
        <v>45766</v>
      </c>
      <c r="AJ7" s="93">
        <v>45767</v>
      </c>
    </row>
    <row r="8" spans="2:38">
      <c r="B8" s="15">
        <v>3</v>
      </c>
      <c r="C8" s="96">
        <v>45677</v>
      </c>
      <c r="D8" s="46">
        <v>45678</v>
      </c>
      <c r="E8" s="46">
        <v>45679</v>
      </c>
      <c r="F8" s="46">
        <v>45680</v>
      </c>
      <c r="G8" s="23">
        <v>45681</v>
      </c>
      <c r="H8" s="23">
        <v>45682</v>
      </c>
      <c r="I8" s="169">
        <v>45683</v>
      </c>
      <c r="K8" s="15"/>
      <c r="L8" s="109">
        <v>45705</v>
      </c>
      <c r="M8" s="5">
        <v>45706</v>
      </c>
      <c r="N8" s="5">
        <v>45707</v>
      </c>
      <c r="O8" s="5">
        <v>45708</v>
      </c>
      <c r="P8" s="5">
        <v>45709</v>
      </c>
      <c r="Q8" s="20">
        <v>45710</v>
      </c>
      <c r="R8" s="93">
        <v>45711</v>
      </c>
      <c r="T8" s="15">
        <v>2</v>
      </c>
      <c r="U8" s="116">
        <v>45733</v>
      </c>
      <c r="V8" s="25">
        <v>45734</v>
      </c>
      <c r="W8" s="25">
        <v>45735</v>
      </c>
      <c r="X8" s="85">
        <v>45736</v>
      </c>
      <c r="Y8" s="25">
        <v>45737</v>
      </c>
      <c r="Z8" s="86">
        <v>45738</v>
      </c>
      <c r="AA8" s="93">
        <v>45739</v>
      </c>
      <c r="AC8" s="15">
        <v>7</v>
      </c>
      <c r="AD8" s="117">
        <v>45768</v>
      </c>
      <c r="AE8" s="26">
        <v>45769</v>
      </c>
      <c r="AF8" s="26">
        <v>45770</v>
      </c>
      <c r="AG8" s="26">
        <v>45771</v>
      </c>
      <c r="AH8" s="26">
        <v>45772</v>
      </c>
      <c r="AI8" s="26">
        <v>45773</v>
      </c>
      <c r="AJ8" s="93">
        <v>45774</v>
      </c>
    </row>
    <row r="9" spans="2:38">
      <c r="B9" s="15">
        <v>4</v>
      </c>
      <c r="C9" s="97">
        <v>45684</v>
      </c>
      <c r="D9" s="98">
        <v>45685</v>
      </c>
      <c r="E9" s="98">
        <v>45686</v>
      </c>
      <c r="F9" s="98">
        <v>45687</v>
      </c>
      <c r="G9" s="99">
        <v>45688</v>
      </c>
      <c r="H9" s="100"/>
      <c r="I9" s="101"/>
      <c r="K9" s="15"/>
      <c r="L9" s="110">
        <v>45712</v>
      </c>
      <c r="M9" s="111">
        <v>45713</v>
      </c>
      <c r="N9" s="111">
        <v>45714</v>
      </c>
      <c r="O9" s="111">
        <v>45715</v>
      </c>
      <c r="P9" s="112">
        <v>45716</v>
      </c>
      <c r="Q9" s="100"/>
      <c r="R9" s="101"/>
      <c r="T9" s="15">
        <v>3</v>
      </c>
      <c r="U9" s="75">
        <v>45740</v>
      </c>
      <c r="V9" s="26">
        <v>45741</v>
      </c>
      <c r="W9" s="26">
        <v>45742</v>
      </c>
      <c r="X9" s="26">
        <v>45743</v>
      </c>
      <c r="Y9" s="43">
        <v>45744</v>
      </c>
      <c r="Z9" s="26">
        <v>45745</v>
      </c>
      <c r="AA9" s="93">
        <v>45746</v>
      </c>
      <c r="AC9" s="15">
        <v>8</v>
      </c>
      <c r="AD9" s="122">
        <v>45775</v>
      </c>
      <c r="AE9" s="123">
        <v>45776</v>
      </c>
      <c r="AF9" s="124">
        <v>45777</v>
      </c>
      <c r="AG9" s="100"/>
      <c r="AH9" s="119"/>
      <c r="AI9" s="119"/>
      <c r="AJ9" s="101"/>
    </row>
    <row r="10" spans="2:38">
      <c r="B10" s="15"/>
      <c r="C10" s="6"/>
      <c r="D10" s="6"/>
      <c r="E10" s="6"/>
      <c r="F10" s="6"/>
      <c r="G10" s="6"/>
      <c r="H10" s="6"/>
      <c r="I10" s="6"/>
      <c r="K10" s="15"/>
      <c r="L10" s="7"/>
      <c r="M10" s="7"/>
      <c r="N10" s="7"/>
      <c r="O10" s="7"/>
      <c r="P10" s="7"/>
      <c r="Q10" s="7"/>
      <c r="R10" s="7"/>
      <c r="T10" s="15">
        <v>4</v>
      </c>
      <c r="U10" s="118">
        <v>45747</v>
      </c>
      <c r="V10" s="100"/>
      <c r="W10" s="119"/>
      <c r="X10" s="119"/>
      <c r="Y10" s="119"/>
      <c r="Z10" s="119"/>
      <c r="AA10" s="101"/>
      <c r="AC10" s="15"/>
    </row>
    <row r="11" spans="2:38" ht="36" customHeight="1">
      <c r="B11" s="15"/>
      <c r="K11" s="15"/>
      <c r="T11" s="15"/>
      <c r="U11" s="7"/>
      <c r="V11" s="7"/>
      <c r="W11" s="7"/>
      <c r="X11" s="7"/>
      <c r="Y11" s="7"/>
      <c r="Z11" s="7"/>
      <c r="AA11" s="7"/>
      <c r="AC11" s="15"/>
    </row>
    <row r="12" spans="2:38" ht="18">
      <c r="B12" s="356" t="s">
        <v>19</v>
      </c>
      <c r="C12" s="102"/>
      <c r="D12" s="103"/>
      <c r="E12" s="354" t="s">
        <v>11</v>
      </c>
      <c r="F12" s="355"/>
      <c r="G12" s="355"/>
      <c r="H12" s="103"/>
      <c r="I12" s="104"/>
      <c r="K12" s="356" t="s">
        <v>19</v>
      </c>
      <c r="L12" s="102"/>
      <c r="M12" s="103"/>
      <c r="N12" s="354" t="s">
        <v>12</v>
      </c>
      <c r="O12" s="355"/>
      <c r="P12" s="355"/>
      <c r="Q12" s="103"/>
      <c r="R12" s="104"/>
      <c r="T12" s="356" t="s">
        <v>19</v>
      </c>
      <c r="U12" s="102"/>
      <c r="V12" s="103"/>
      <c r="W12" s="354" t="s">
        <v>13</v>
      </c>
      <c r="X12" s="355"/>
      <c r="Y12" s="355"/>
      <c r="Z12" s="103"/>
      <c r="AA12" s="104"/>
      <c r="AC12" s="356" t="s">
        <v>19</v>
      </c>
      <c r="AD12" s="102"/>
      <c r="AE12" s="103"/>
      <c r="AF12" s="354" t="s">
        <v>14</v>
      </c>
      <c r="AG12" s="355"/>
      <c r="AH12" s="355"/>
      <c r="AI12" s="103"/>
      <c r="AJ12" s="104"/>
    </row>
    <row r="13" spans="2:38">
      <c r="B13" s="356"/>
      <c r="C13" s="105" t="s">
        <v>1</v>
      </c>
      <c r="D13" s="63" t="s">
        <v>2</v>
      </c>
      <c r="E13" s="63" t="s">
        <v>3</v>
      </c>
      <c r="F13" s="63" t="s">
        <v>4</v>
      </c>
      <c r="G13" s="63" t="s">
        <v>5</v>
      </c>
      <c r="H13" s="64" t="s">
        <v>6</v>
      </c>
      <c r="I13" s="106" t="s">
        <v>7</v>
      </c>
      <c r="K13" s="356"/>
      <c r="L13" s="105" t="s">
        <v>1</v>
      </c>
      <c r="M13" s="63" t="s">
        <v>2</v>
      </c>
      <c r="N13" s="63" t="s">
        <v>3</v>
      </c>
      <c r="O13" s="63" t="s">
        <v>4</v>
      </c>
      <c r="P13" s="63" t="s">
        <v>5</v>
      </c>
      <c r="Q13" s="64" t="s">
        <v>6</v>
      </c>
      <c r="R13" s="106" t="s">
        <v>7</v>
      </c>
      <c r="T13" s="356"/>
      <c r="U13" s="105" t="s">
        <v>1</v>
      </c>
      <c r="V13" s="63" t="s">
        <v>2</v>
      </c>
      <c r="W13" s="63" t="s">
        <v>3</v>
      </c>
      <c r="X13" s="63" t="s">
        <v>4</v>
      </c>
      <c r="Y13" s="63" t="s">
        <v>5</v>
      </c>
      <c r="Z13" s="64" t="s">
        <v>6</v>
      </c>
      <c r="AA13" s="106" t="s">
        <v>7</v>
      </c>
      <c r="AC13" s="356"/>
      <c r="AD13" s="105" t="s">
        <v>1</v>
      </c>
      <c r="AE13" s="63" t="s">
        <v>2</v>
      </c>
      <c r="AF13" s="63" t="s">
        <v>3</v>
      </c>
      <c r="AG13" s="63" t="s">
        <v>4</v>
      </c>
      <c r="AH13" s="63" t="s">
        <v>5</v>
      </c>
      <c r="AI13" s="64" t="s">
        <v>6</v>
      </c>
      <c r="AJ13" s="106" t="s">
        <v>7</v>
      </c>
    </row>
    <row r="14" spans="2:38" ht="15" thickBot="1">
      <c r="B14" s="15">
        <v>8</v>
      </c>
      <c r="C14" s="92"/>
      <c r="D14" s="3"/>
      <c r="E14" s="1"/>
      <c r="F14" s="10">
        <v>45778</v>
      </c>
      <c r="G14" s="28">
        <v>45779</v>
      </c>
      <c r="H14" s="28">
        <v>45780</v>
      </c>
      <c r="I14" s="93">
        <v>45781</v>
      </c>
      <c r="K14" s="15">
        <v>12</v>
      </c>
      <c r="L14" s="129"/>
      <c r="M14" s="72"/>
      <c r="N14" s="72"/>
      <c r="O14" s="72"/>
      <c r="P14" s="72"/>
      <c r="Q14" s="84"/>
      <c r="R14" s="130">
        <v>45809</v>
      </c>
      <c r="T14" s="15">
        <v>17</v>
      </c>
      <c r="U14" s="137"/>
      <c r="V14" s="48">
        <v>45839</v>
      </c>
      <c r="W14" s="49">
        <v>45840</v>
      </c>
      <c r="X14" s="49">
        <v>45841</v>
      </c>
      <c r="Y14" s="49">
        <v>45842</v>
      </c>
      <c r="Z14" s="49">
        <v>45843</v>
      </c>
      <c r="AA14" s="93">
        <v>45844</v>
      </c>
      <c r="AC14" s="15"/>
      <c r="AD14" s="113"/>
      <c r="AE14" s="33"/>
      <c r="AF14" s="33"/>
      <c r="AG14" s="34"/>
      <c r="AH14" s="38">
        <v>45870</v>
      </c>
      <c r="AI14" s="39">
        <v>45871</v>
      </c>
      <c r="AJ14" s="93">
        <v>45872</v>
      </c>
    </row>
    <row r="15" spans="2:38" ht="15" thickBot="1">
      <c r="B15" s="15">
        <v>9</v>
      </c>
      <c r="C15" s="116">
        <v>45782</v>
      </c>
      <c r="D15" s="24">
        <v>45783</v>
      </c>
      <c r="E15" s="24">
        <v>45784</v>
      </c>
      <c r="F15" s="24">
        <v>45785</v>
      </c>
      <c r="G15" s="24">
        <v>45786</v>
      </c>
      <c r="H15" s="24">
        <v>45787</v>
      </c>
      <c r="I15" s="93">
        <v>45788</v>
      </c>
      <c r="K15" s="15">
        <v>13</v>
      </c>
      <c r="L15" s="131">
        <v>45810</v>
      </c>
      <c r="M15" s="44">
        <v>45811</v>
      </c>
      <c r="N15" s="44">
        <v>45812</v>
      </c>
      <c r="O15" s="44">
        <v>45813</v>
      </c>
      <c r="P15" s="44">
        <v>45814</v>
      </c>
      <c r="Q15" s="44">
        <v>45815</v>
      </c>
      <c r="R15" s="132">
        <v>45816</v>
      </c>
      <c r="T15" s="15">
        <v>18</v>
      </c>
      <c r="U15" s="117">
        <v>45845</v>
      </c>
      <c r="V15" s="26">
        <v>45846</v>
      </c>
      <c r="W15" s="26">
        <v>45847</v>
      </c>
      <c r="X15" s="26">
        <v>45848</v>
      </c>
      <c r="Y15" s="26">
        <v>45849</v>
      </c>
      <c r="Z15" s="26">
        <v>45850</v>
      </c>
      <c r="AA15" s="115">
        <v>45851</v>
      </c>
      <c r="AC15" s="15"/>
      <c r="AD15" s="142">
        <v>45873</v>
      </c>
      <c r="AE15" s="36">
        <v>45874</v>
      </c>
      <c r="AF15" s="36">
        <v>45875</v>
      </c>
      <c r="AG15" s="36">
        <v>45876</v>
      </c>
      <c r="AH15" s="36">
        <v>45877</v>
      </c>
      <c r="AI15" s="37">
        <v>45878</v>
      </c>
      <c r="AJ15" s="115">
        <v>45879</v>
      </c>
    </row>
    <row r="16" spans="2:38">
      <c r="B16" s="15">
        <v>10</v>
      </c>
      <c r="C16" s="121">
        <v>45789</v>
      </c>
      <c r="D16" s="25">
        <v>45790</v>
      </c>
      <c r="E16" s="25">
        <v>45791</v>
      </c>
      <c r="F16" s="25">
        <v>45792</v>
      </c>
      <c r="G16" s="25">
        <v>45793</v>
      </c>
      <c r="H16" s="25">
        <v>45794</v>
      </c>
      <c r="I16" s="93">
        <v>45795</v>
      </c>
      <c r="K16" s="15">
        <v>14</v>
      </c>
      <c r="L16" s="131">
        <v>45817</v>
      </c>
      <c r="M16" s="44">
        <v>45818</v>
      </c>
      <c r="N16" s="44">
        <v>45819</v>
      </c>
      <c r="O16" s="44">
        <v>45820</v>
      </c>
      <c r="P16" s="44">
        <v>45821</v>
      </c>
      <c r="Q16" s="44">
        <v>45822</v>
      </c>
      <c r="R16" s="132">
        <v>45823</v>
      </c>
      <c r="T16" s="15">
        <v>19</v>
      </c>
      <c r="U16" s="117">
        <v>45852</v>
      </c>
      <c r="V16" s="26">
        <v>45853</v>
      </c>
      <c r="W16" s="80">
        <v>45854</v>
      </c>
      <c r="X16" s="26">
        <v>45855</v>
      </c>
      <c r="Y16" s="26">
        <v>45856</v>
      </c>
      <c r="Z16" s="26">
        <v>45857</v>
      </c>
      <c r="AA16" s="115">
        <v>45858</v>
      </c>
      <c r="AC16" s="15">
        <v>1</v>
      </c>
      <c r="AD16" s="75">
        <v>45880</v>
      </c>
      <c r="AE16" s="78">
        <v>45881</v>
      </c>
      <c r="AF16" s="24">
        <v>45882</v>
      </c>
      <c r="AG16" s="24">
        <v>45883</v>
      </c>
      <c r="AH16" s="40">
        <v>45884</v>
      </c>
      <c r="AI16" s="24">
        <v>45885</v>
      </c>
      <c r="AJ16" s="93">
        <v>45886</v>
      </c>
    </row>
    <row r="17" spans="2:39">
      <c r="B17" s="15">
        <v>11</v>
      </c>
      <c r="C17" s="117">
        <v>45796</v>
      </c>
      <c r="D17" s="26">
        <v>45797</v>
      </c>
      <c r="E17" s="11">
        <v>45798</v>
      </c>
      <c r="F17" s="26">
        <v>45799</v>
      </c>
      <c r="G17" s="26">
        <v>45800</v>
      </c>
      <c r="H17" s="26">
        <v>45801</v>
      </c>
      <c r="I17" s="93">
        <v>45802</v>
      </c>
      <c r="K17" s="15">
        <v>15</v>
      </c>
      <c r="L17" s="133">
        <v>45824</v>
      </c>
      <c r="M17" s="74">
        <v>45825</v>
      </c>
      <c r="N17" s="74">
        <v>45826</v>
      </c>
      <c r="O17" s="74">
        <v>45827</v>
      </c>
      <c r="P17" s="74">
        <v>45828</v>
      </c>
      <c r="Q17" s="74">
        <v>45829</v>
      </c>
      <c r="R17" s="153">
        <v>45830</v>
      </c>
      <c r="T17" s="15">
        <v>20</v>
      </c>
      <c r="U17" s="117">
        <v>45859</v>
      </c>
      <c r="V17" s="26">
        <v>45860</v>
      </c>
      <c r="W17" s="81">
        <v>45861</v>
      </c>
      <c r="X17" s="79">
        <v>45862</v>
      </c>
      <c r="Y17" s="50">
        <v>45863</v>
      </c>
      <c r="Z17" s="51">
        <v>45864</v>
      </c>
      <c r="AA17" s="93">
        <v>45865</v>
      </c>
      <c r="AC17" s="15">
        <v>2</v>
      </c>
      <c r="AD17" s="107">
        <v>45887</v>
      </c>
      <c r="AE17" s="26">
        <v>45888</v>
      </c>
      <c r="AF17" s="26">
        <v>45889</v>
      </c>
      <c r="AG17" s="26">
        <v>45890</v>
      </c>
      <c r="AH17" s="26">
        <v>45891</v>
      </c>
      <c r="AI17" s="26">
        <v>45892</v>
      </c>
      <c r="AJ17" s="93">
        <v>45893</v>
      </c>
      <c r="AM17" s="52"/>
    </row>
    <row r="18" spans="2:39">
      <c r="B18" s="15">
        <v>12</v>
      </c>
      <c r="C18" s="122">
        <v>45803</v>
      </c>
      <c r="D18" s="98">
        <v>45804</v>
      </c>
      <c r="E18" s="98">
        <v>45805</v>
      </c>
      <c r="F18" s="125">
        <v>45806</v>
      </c>
      <c r="G18" s="126">
        <v>45807</v>
      </c>
      <c r="H18" s="127">
        <v>45808</v>
      </c>
      <c r="I18" s="128"/>
      <c r="K18" s="15">
        <v>16</v>
      </c>
      <c r="L18" s="117">
        <v>45831</v>
      </c>
      <c r="M18" s="26">
        <v>45832</v>
      </c>
      <c r="N18" s="26">
        <v>45833</v>
      </c>
      <c r="O18" s="82">
        <v>45834</v>
      </c>
      <c r="P18" s="75">
        <v>45835</v>
      </c>
      <c r="Q18" s="83">
        <v>45836</v>
      </c>
      <c r="R18" s="135">
        <v>45837</v>
      </c>
      <c r="T18" s="15"/>
      <c r="U18" s="138">
        <v>45866</v>
      </c>
      <c r="V18" s="139">
        <v>45867</v>
      </c>
      <c r="W18" s="140">
        <v>45868</v>
      </c>
      <c r="X18" s="141">
        <v>45869</v>
      </c>
      <c r="Y18" s="119"/>
      <c r="Z18" s="119"/>
      <c r="AA18" s="101"/>
      <c r="AC18" s="15">
        <v>3</v>
      </c>
      <c r="AD18" s="75">
        <v>45894</v>
      </c>
      <c r="AE18" s="123">
        <v>45895</v>
      </c>
      <c r="AF18" s="143">
        <v>45896</v>
      </c>
      <c r="AG18" s="123">
        <v>45897</v>
      </c>
      <c r="AH18" s="123">
        <v>45898</v>
      </c>
      <c r="AI18" s="123">
        <v>45899</v>
      </c>
      <c r="AJ18" s="144">
        <v>45900</v>
      </c>
    </row>
    <row r="19" spans="2:39">
      <c r="B19" s="15"/>
      <c r="K19" s="15">
        <v>17</v>
      </c>
      <c r="L19" s="118">
        <v>45838</v>
      </c>
      <c r="M19" s="100"/>
      <c r="N19" s="119"/>
      <c r="O19" s="119"/>
      <c r="P19" s="136"/>
      <c r="Q19" s="119"/>
      <c r="R19" s="101"/>
      <c r="T19" s="15"/>
      <c r="AC19" s="15"/>
    </row>
    <row r="20" spans="2:39" ht="48" customHeight="1">
      <c r="B20" s="15"/>
      <c r="C20" s="7"/>
      <c r="D20" s="7"/>
      <c r="E20" s="7"/>
      <c r="F20" s="7"/>
      <c r="G20" s="7"/>
      <c r="H20" s="7"/>
      <c r="I20" s="7"/>
      <c r="K20" s="15"/>
      <c r="L20" s="7"/>
      <c r="M20" s="7"/>
      <c r="N20" s="7"/>
      <c r="O20" s="7"/>
      <c r="P20" s="7"/>
      <c r="Q20" s="7"/>
      <c r="R20" s="7"/>
      <c r="T20" s="15"/>
      <c r="AC20" s="15"/>
    </row>
    <row r="21" spans="2:39" ht="18">
      <c r="B21" s="356" t="s">
        <v>19</v>
      </c>
      <c r="C21" s="102"/>
      <c r="D21" s="103"/>
      <c r="E21" s="354" t="s">
        <v>15</v>
      </c>
      <c r="F21" s="355"/>
      <c r="G21" s="355"/>
      <c r="H21" s="103"/>
      <c r="I21" s="104"/>
      <c r="K21" s="356" t="s">
        <v>19</v>
      </c>
      <c r="L21" s="102"/>
      <c r="M21" s="103"/>
      <c r="N21" s="354" t="s">
        <v>16</v>
      </c>
      <c r="O21" s="355"/>
      <c r="P21" s="355"/>
      <c r="Q21" s="103"/>
      <c r="R21" s="104"/>
      <c r="T21" s="356" t="s">
        <v>19</v>
      </c>
      <c r="U21" s="102"/>
      <c r="V21" s="103"/>
      <c r="W21" s="354" t="s">
        <v>17</v>
      </c>
      <c r="X21" s="355"/>
      <c r="Y21" s="355"/>
      <c r="Z21" s="103"/>
      <c r="AA21" s="104"/>
      <c r="AC21" s="356" t="s">
        <v>19</v>
      </c>
      <c r="AD21" s="102"/>
      <c r="AE21" s="103"/>
      <c r="AF21" s="354" t="s">
        <v>18</v>
      </c>
      <c r="AG21" s="355"/>
      <c r="AH21" s="355"/>
      <c r="AI21" s="103"/>
      <c r="AJ21" s="104"/>
    </row>
    <row r="22" spans="2:39">
      <c r="B22" s="356"/>
      <c r="C22" s="105" t="s">
        <v>1</v>
      </c>
      <c r="D22" s="63" t="s">
        <v>2</v>
      </c>
      <c r="E22" s="63" t="s">
        <v>3</v>
      </c>
      <c r="F22" s="63" t="s">
        <v>4</v>
      </c>
      <c r="G22" s="63" t="s">
        <v>5</v>
      </c>
      <c r="H22" s="64" t="s">
        <v>6</v>
      </c>
      <c r="I22" s="106" t="s">
        <v>7</v>
      </c>
      <c r="K22" s="356"/>
      <c r="L22" s="105" t="s">
        <v>1</v>
      </c>
      <c r="M22" s="63" t="s">
        <v>2</v>
      </c>
      <c r="N22" s="63" t="s">
        <v>3</v>
      </c>
      <c r="O22" s="63" t="s">
        <v>4</v>
      </c>
      <c r="P22" s="63" t="s">
        <v>5</v>
      </c>
      <c r="Q22" s="64" t="s">
        <v>6</v>
      </c>
      <c r="R22" s="106" t="s">
        <v>7</v>
      </c>
      <c r="T22" s="356"/>
      <c r="U22" s="105" t="s">
        <v>1</v>
      </c>
      <c r="V22" s="63" t="s">
        <v>2</v>
      </c>
      <c r="W22" s="63" t="s">
        <v>3</v>
      </c>
      <c r="X22" s="63" t="s">
        <v>4</v>
      </c>
      <c r="Y22" s="63" t="s">
        <v>5</v>
      </c>
      <c r="Z22" s="64" t="s">
        <v>6</v>
      </c>
      <c r="AA22" s="106" t="s">
        <v>7</v>
      </c>
      <c r="AC22" s="356"/>
      <c r="AD22" s="105" t="s">
        <v>1</v>
      </c>
      <c r="AE22" s="63" t="s">
        <v>2</v>
      </c>
      <c r="AF22" s="63" t="s">
        <v>3</v>
      </c>
      <c r="AG22" s="63" t="s">
        <v>4</v>
      </c>
      <c r="AH22" s="63" t="s">
        <v>5</v>
      </c>
      <c r="AI22" s="64" t="s">
        <v>6</v>
      </c>
      <c r="AJ22" s="106" t="s">
        <v>7</v>
      </c>
    </row>
    <row r="23" spans="2:39">
      <c r="B23" s="15">
        <v>4</v>
      </c>
      <c r="C23" s="145">
        <v>45901</v>
      </c>
      <c r="D23" s="28">
        <v>45902</v>
      </c>
      <c r="E23" s="28">
        <v>45903</v>
      </c>
      <c r="F23" s="28">
        <v>45904</v>
      </c>
      <c r="G23" s="28">
        <v>45905</v>
      </c>
      <c r="H23" s="49">
        <v>45906</v>
      </c>
      <c r="I23" s="93">
        <v>45907</v>
      </c>
      <c r="K23" s="15">
        <v>8</v>
      </c>
      <c r="L23" s="92"/>
      <c r="M23" s="1"/>
      <c r="N23" s="27">
        <v>45931</v>
      </c>
      <c r="O23" s="28">
        <v>45932</v>
      </c>
      <c r="P23" s="28">
        <v>45933</v>
      </c>
      <c r="Q23" s="28">
        <v>45934</v>
      </c>
      <c r="R23" s="93">
        <v>45935</v>
      </c>
      <c r="T23" s="15">
        <v>12</v>
      </c>
      <c r="U23" s="129"/>
      <c r="V23" s="72"/>
      <c r="W23" s="72"/>
      <c r="X23" s="72"/>
      <c r="Y23" s="72"/>
      <c r="Z23" s="73">
        <v>45962</v>
      </c>
      <c r="AA23" s="130">
        <v>45963</v>
      </c>
      <c r="AC23" s="15">
        <v>17</v>
      </c>
      <c r="AD23" s="145">
        <v>45992</v>
      </c>
      <c r="AE23" s="28">
        <v>45993</v>
      </c>
      <c r="AF23" s="28">
        <v>45994</v>
      </c>
      <c r="AG23" s="28">
        <v>45995</v>
      </c>
      <c r="AH23" s="28">
        <v>45996</v>
      </c>
      <c r="AI23" s="28">
        <v>45997</v>
      </c>
      <c r="AJ23" s="93">
        <v>45998</v>
      </c>
    </row>
    <row r="24" spans="2:39">
      <c r="B24" s="15">
        <v>5</v>
      </c>
      <c r="C24" s="116">
        <v>45908</v>
      </c>
      <c r="D24" s="24">
        <v>45909</v>
      </c>
      <c r="E24" s="24">
        <v>45910</v>
      </c>
      <c r="F24" s="24">
        <v>45911</v>
      </c>
      <c r="G24" s="76">
        <v>45912</v>
      </c>
      <c r="H24" s="75">
        <v>45913</v>
      </c>
      <c r="I24" s="115">
        <v>45914</v>
      </c>
      <c r="K24" s="15">
        <v>9</v>
      </c>
      <c r="L24" s="116">
        <v>45936</v>
      </c>
      <c r="M24" s="24">
        <v>45937</v>
      </c>
      <c r="N24" s="24">
        <v>45938</v>
      </c>
      <c r="O24" s="24">
        <v>45939</v>
      </c>
      <c r="P24" s="24">
        <v>45940</v>
      </c>
      <c r="Q24" s="24">
        <v>45941</v>
      </c>
      <c r="R24" s="93">
        <v>45942</v>
      </c>
      <c r="T24" s="15">
        <v>13</v>
      </c>
      <c r="U24" s="131">
        <v>45964</v>
      </c>
      <c r="V24" s="44">
        <v>45965</v>
      </c>
      <c r="W24" s="18">
        <v>45966</v>
      </c>
      <c r="X24" s="44">
        <v>45967</v>
      </c>
      <c r="Y24" s="44">
        <v>45968</v>
      </c>
      <c r="Z24" s="44">
        <v>45969</v>
      </c>
      <c r="AA24" s="132">
        <v>45970</v>
      </c>
      <c r="AC24" s="15">
        <v>18</v>
      </c>
      <c r="AD24" s="149">
        <v>45999</v>
      </c>
      <c r="AE24" s="24">
        <v>46000</v>
      </c>
      <c r="AF24" s="24">
        <v>46001</v>
      </c>
      <c r="AG24" s="24">
        <v>46002</v>
      </c>
      <c r="AH24" s="24">
        <v>46003</v>
      </c>
      <c r="AI24" s="24">
        <v>46004</v>
      </c>
      <c r="AJ24" s="93">
        <v>46005</v>
      </c>
    </row>
    <row r="25" spans="2:39">
      <c r="B25" s="15">
        <v>6</v>
      </c>
      <c r="C25" s="121">
        <v>45915</v>
      </c>
      <c r="D25" s="25">
        <v>45916</v>
      </c>
      <c r="E25" s="25">
        <v>45917</v>
      </c>
      <c r="F25" s="9">
        <v>45918</v>
      </c>
      <c r="G25" s="9">
        <v>45919</v>
      </c>
      <c r="H25" s="77">
        <v>45920</v>
      </c>
      <c r="I25" s="93">
        <v>45921</v>
      </c>
      <c r="K25" s="15">
        <v>10</v>
      </c>
      <c r="L25" s="121">
        <v>45943</v>
      </c>
      <c r="M25" s="25">
        <v>45944</v>
      </c>
      <c r="N25" s="25">
        <v>45945</v>
      </c>
      <c r="O25" s="25">
        <v>45946</v>
      </c>
      <c r="P25" s="25">
        <v>45947</v>
      </c>
      <c r="Q25" s="25">
        <v>45948</v>
      </c>
      <c r="R25" s="93">
        <v>45949</v>
      </c>
      <c r="T25" s="15">
        <v>14</v>
      </c>
      <c r="U25" s="133">
        <v>45971</v>
      </c>
      <c r="V25" s="74">
        <v>45972</v>
      </c>
      <c r="W25" s="74">
        <v>45973</v>
      </c>
      <c r="X25" s="74">
        <v>45974</v>
      </c>
      <c r="Y25" s="74">
        <v>45975</v>
      </c>
      <c r="Z25" s="74">
        <v>45976</v>
      </c>
      <c r="AA25" s="134">
        <v>45977</v>
      </c>
      <c r="AC25" s="15">
        <v>19</v>
      </c>
      <c r="AD25" s="117">
        <v>46006</v>
      </c>
      <c r="AE25" s="71">
        <v>46007</v>
      </c>
      <c r="AF25" s="26">
        <v>46008</v>
      </c>
      <c r="AG25" s="25">
        <v>46009</v>
      </c>
      <c r="AH25" s="25">
        <v>46010</v>
      </c>
      <c r="AI25" s="25">
        <v>46011</v>
      </c>
      <c r="AJ25" s="93">
        <v>46012</v>
      </c>
    </row>
    <row r="26" spans="2:39">
      <c r="B26" s="15">
        <v>7</v>
      </c>
      <c r="C26" s="117">
        <v>45922</v>
      </c>
      <c r="D26" s="26">
        <v>45923</v>
      </c>
      <c r="E26" s="26">
        <v>45924</v>
      </c>
      <c r="F26" s="26">
        <v>45925</v>
      </c>
      <c r="G26" s="26">
        <v>45926</v>
      </c>
      <c r="H26" s="26">
        <v>45927</v>
      </c>
      <c r="I26" s="93">
        <v>45928</v>
      </c>
      <c r="K26" s="15">
        <v>11</v>
      </c>
      <c r="L26" s="117">
        <v>45950</v>
      </c>
      <c r="M26" s="26">
        <v>45951</v>
      </c>
      <c r="N26" s="26">
        <v>45952</v>
      </c>
      <c r="O26" s="26">
        <v>45953</v>
      </c>
      <c r="P26" s="26">
        <v>45954</v>
      </c>
      <c r="Q26" s="26">
        <v>45955</v>
      </c>
      <c r="R26" s="93">
        <v>45956</v>
      </c>
      <c r="T26" s="15">
        <v>15</v>
      </c>
      <c r="U26" s="121">
        <v>45978</v>
      </c>
      <c r="V26" s="43">
        <v>45979</v>
      </c>
      <c r="W26" s="43">
        <v>45980</v>
      </c>
      <c r="X26" s="43">
        <v>45981</v>
      </c>
      <c r="Y26" s="43">
        <v>45982</v>
      </c>
      <c r="Z26" s="43">
        <v>45983</v>
      </c>
      <c r="AA26" s="135">
        <v>45984</v>
      </c>
      <c r="AC26" s="15">
        <v>20</v>
      </c>
      <c r="AD26" s="145">
        <v>46013</v>
      </c>
      <c r="AE26" s="70">
        <v>46014</v>
      </c>
      <c r="AF26" s="69">
        <v>46015</v>
      </c>
      <c r="AG26" s="68">
        <v>46016</v>
      </c>
      <c r="AH26" s="5">
        <v>46017</v>
      </c>
      <c r="AI26" s="20">
        <v>46018</v>
      </c>
      <c r="AJ26" s="93">
        <v>46019</v>
      </c>
    </row>
    <row r="27" spans="2:39">
      <c r="B27" s="15">
        <v>8</v>
      </c>
      <c r="C27" s="122">
        <v>45929</v>
      </c>
      <c r="D27" s="124">
        <v>45930</v>
      </c>
      <c r="E27" s="100"/>
      <c r="F27" s="119"/>
      <c r="G27" s="119"/>
      <c r="H27" s="119"/>
      <c r="I27" s="101"/>
      <c r="K27" s="15">
        <v>12</v>
      </c>
      <c r="L27" s="125">
        <v>45957</v>
      </c>
      <c r="M27" s="126">
        <v>45958</v>
      </c>
      <c r="N27" s="126">
        <v>45959</v>
      </c>
      <c r="O27" s="126">
        <v>45960</v>
      </c>
      <c r="P27" s="146">
        <v>45961</v>
      </c>
      <c r="Q27" s="147"/>
      <c r="R27" s="148"/>
      <c r="T27" s="15">
        <v>16</v>
      </c>
      <c r="U27" s="118">
        <v>45985</v>
      </c>
      <c r="V27" s="123">
        <v>45986</v>
      </c>
      <c r="W27" s="123">
        <v>45987</v>
      </c>
      <c r="X27" s="124">
        <v>45988</v>
      </c>
      <c r="Y27" s="75">
        <v>45989</v>
      </c>
      <c r="Z27" s="143">
        <v>45990</v>
      </c>
      <c r="AA27" s="144">
        <v>45991</v>
      </c>
      <c r="AC27" s="15"/>
      <c r="AD27" s="150">
        <v>46020</v>
      </c>
      <c r="AE27" s="151">
        <v>46021</v>
      </c>
      <c r="AF27" s="152">
        <v>46022</v>
      </c>
      <c r="AG27" s="100"/>
      <c r="AH27" s="119"/>
      <c r="AI27" s="119"/>
      <c r="AJ27" s="101"/>
    </row>
    <row r="29" spans="2:39" ht="28" customHeight="1" thickBot="1"/>
    <row r="30" spans="2:39" ht="15" thickBot="1">
      <c r="C30" s="369" t="s">
        <v>22</v>
      </c>
      <c r="D30" s="369"/>
      <c r="E30" s="369"/>
      <c r="F30" s="369"/>
      <c r="G30" s="369"/>
      <c r="H30" s="369"/>
      <c r="I30" s="369"/>
      <c r="J30" s="29"/>
      <c r="K30" s="30"/>
      <c r="L30" s="370" t="s">
        <v>23</v>
      </c>
      <c r="M30" s="371"/>
      <c r="N30" s="371"/>
      <c r="O30" s="371"/>
      <c r="P30" s="371"/>
      <c r="Q30" s="371"/>
      <c r="R30" s="372"/>
      <c r="S30" s="31"/>
      <c r="T30" s="31"/>
      <c r="U30" s="368" t="s">
        <v>21</v>
      </c>
      <c r="V30" s="368"/>
      <c r="W30" s="368"/>
      <c r="X30" s="368"/>
      <c r="Y30" s="368"/>
      <c r="Z30" s="368"/>
      <c r="AA30" s="368"/>
      <c r="AB30" s="31"/>
      <c r="AC30" s="31"/>
      <c r="AD30" s="373" t="s">
        <v>24</v>
      </c>
      <c r="AE30" s="374"/>
      <c r="AF30" s="374"/>
      <c r="AG30" s="374"/>
      <c r="AH30" s="374"/>
      <c r="AI30" s="374"/>
      <c r="AJ30" s="375"/>
    </row>
    <row r="31" spans="2:39" ht="7" customHeight="1" thickBot="1">
      <c r="C31" s="31"/>
      <c r="D31" s="31"/>
      <c r="E31" s="31"/>
      <c r="F31" s="31"/>
      <c r="G31" s="31"/>
      <c r="H31" s="31"/>
      <c r="I31" s="31"/>
      <c r="J31" s="31"/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spans="2:39" ht="15" thickBot="1">
      <c r="C32" s="357" t="s">
        <v>25</v>
      </c>
      <c r="D32" s="358"/>
      <c r="E32" s="358"/>
      <c r="F32" s="358"/>
      <c r="G32" s="358"/>
      <c r="H32" s="358"/>
      <c r="I32" s="359"/>
      <c r="J32" s="29"/>
      <c r="K32" s="30"/>
      <c r="L32" s="360" t="s">
        <v>26</v>
      </c>
      <c r="M32" s="361"/>
      <c r="N32" s="361"/>
      <c r="O32" s="361"/>
      <c r="P32" s="361"/>
      <c r="Q32" s="361"/>
      <c r="R32" s="362"/>
      <c r="S32" s="29"/>
      <c r="T32" s="29"/>
      <c r="U32" s="363" t="s">
        <v>90</v>
      </c>
      <c r="V32" s="364"/>
      <c r="W32" s="364"/>
      <c r="X32" s="364"/>
      <c r="Y32" s="364"/>
      <c r="Z32" s="364"/>
      <c r="AA32" s="365"/>
      <c r="AB32" s="29"/>
      <c r="AC32" s="29"/>
      <c r="AD32" s="366" t="s">
        <v>27</v>
      </c>
      <c r="AE32" s="366"/>
      <c r="AF32" s="366"/>
      <c r="AG32" s="366"/>
      <c r="AH32" s="366"/>
      <c r="AI32" s="366"/>
      <c r="AJ32" s="366"/>
    </row>
    <row r="39" spans="3:27">
      <c r="C39" s="7"/>
      <c r="D39" s="7"/>
      <c r="E39" s="7"/>
      <c r="F39" s="7"/>
      <c r="G39" s="7"/>
      <c r="H39" s="7"/>
      <c r="I39" s="7"/>
      <c r="L39" s="7"/>
      <c r="M39" s="7"/>
      <c r="N39" s="7"/>
      <c r="O39" s="7"/>
      <c r="P39" s="7"/>
      <c r="Q39" s="7"/>
      <c r="R39" s="7"/>
      <c r="U39" s="7"/>
      <c r="V39" s="7"/>
      <c r="W39" s="7"/>
      <c r="X39" s="7"/>
      <c r="Y39" s="7"/>
      <c r="Z39" s="7"/>
      <c r="AA39" s="7"/>
    </row>
    <row r="40" spans="3:27">
      <c r="L40" s="12"/>
      <c r="AA40" s="13"/>
    </row>
  </sheetData>
  <mergeCells count="33">
    <mergeCell ref="AD32:AJ32"/>
    <mergeCell ref="B1:AJ2"/>
    <mergeCell ref="U30:AA30"/>
    <mergeCell ref="C30:I30"/>
    <mergeCell ref="L30:R30"/>
    <mergeCell ref="AD30:AJ30"/>
    <mergeCell ref="B21:B22"/>
    <mergeCell ref="K21:K22"/>
    <mergeCell ref="T21:T22"/>
    <mergeCell ref="AC21:AC22"/>
    <mergeCell ref="B3:B4"/>
    <mergeCell ref="K3:K4"/>
    <mergeCell ref="T3:T4"/>
    <mergeCell ref="B12:B13"/>
    <mergeCell ref="E3:G3"/>
    <mergeCell ref="N3:P3"/>
    <mergeCell ref="C32:I32"/>
    <mergeCell ref="L32:R32"/>
    <mergeCell ref="U32:AA32"/>
    <mergeCell ref="E21:G21"/>
    <mergeCell ref="N21:P21"/>
    <mergeCell ref="W21:Y21"/>
    <mergeCell ref="AF21:AH21"/>
    <mergeCell ref="AF3:AH3"/>
    <mergeCell ref="E12:G12"/>
    <mergeCell ref="N12:P12"/>
    <mergeCell ref="W12:Y12"/>
    <mergeCell ref="AF12:AH12"/>
    <mergeCell ref="AC3:AC4"/>
    <mergeCell ref="AC12:AC13"/>
    <mergeCell ref="T12:T13"/>
    <mergeCell ref="K12:K13"/>
    <mergeCell ref="W3:Y3"/>
  </mergeCells>
  <printOptions horizontalCentered="1"/>
  <pageMargins left="0.51181102362204722" right="0.51181102362204722" top="0.51181102362204722" bottom="0.51181102362204722" header="0.31496062992125984" footer="0.31496062992125984"/>
  <pageSetup scale="8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DJ198"/>
  <sheetViews>
    <sheetView tabSelected="1" zoomScale="80" zoomScaleNormal="80" workbookViewId="0">
      <selection activeCell="M12" sqref="M12"/>
    </sheetView>
  </sheetViews>
  <sheetFormatPr baseColWidth="10" defaultColWidth="11.453125" defaultRowHeight="14.5"/>
  <cols>
    <col min="1" max="1" width="3.1796875" style="54" customWidth="1"/>
    <col min="2" max="2" width="3.08984375" style="54" customWidth="1"/>
    <col min="3" max="3" width="81.54296875" style="54" customWidth="1"/>
    <col min="4" max="4" width="15.54296875" style="57" bestFit="1" customWidth="1"/>
    <col min="5" max="5" width="16.90625" style="57" bestFit="1" customWidth="1"/>
    <col min="6" max="6" width="15.90625" style="58" bestFit="1" customWidth="1"/>
    <col min="7" max="7" width="16.90625" style="58" bestFit="1" customWidth="1"/>
    <col min="8" max="8" width="15.81640625" style="155" bestFit="1" customWidth="1"/>
    <col min="9" max="9" width="16.90625" style="155" bestFit="1" customWidth="1"/>
    <col min="10" max="10" width="3.1796875" style="53" customWidth="1"/>
    <col min="11" max="11" width="3.81640625" style="53" customWidth="1"/>
    <col min="12" max="114" width="11.453125" style="53"/>
    <col min="115" max="16384" width="11.453125" style="54"/>
  </cols>
  <sheetData>
    <row r="1" spans="1:11">
      <c r="A1" s="255"/>
      <c r="B1" s="253"/>
      <c r="C1" s="253"/>
      <c r="D1" s="254"/>
      <c r="E1" s="254"/>
      <c r="F1" s="255"/>
      <c r="G1" s="255"/>
      <c r="H1" s="255"/>
      <c r="I1" s="255"/>
      <c r="J1" s="255"/>
      <c r="K1" s="255"/>
    </row>
    <row r="2" spans="1:11">
      <c r="A2" s="255"/>
      <c r="B2" s="59"/>
      <c r="C2" s="333" t="s">
        <v>105</v>
      </c>
      <c r="D2" s="333"/>
      <c r="E2" s="333"/>
      <c r="F2" s="333"/>
      <c r="G2" s="333"/>
      <c r="H2" s="333"/>
      <c r="I2" s="333"/>
      <c r="J2" s="252"/>
      <c r="K2" s="255"/>
    </row>
    <row r="3" spans="1:11" ht="22" customHeight="1">
      <c r="A3" s="255"/>
      <c r="B3" s="59"/>
      <c r="C3" s="333"/>
      <c r="D3" s="333"/>
      <c r="E3" s="333"/>
      <c r="F3" s="333"/>
      <c r="G3" s="333"/>
      <c r="H3" s="333"/>
      <c r="I3" s="333"/>
      <c r="J3" s="252"/>
      <c r="K3" s="255"/>
    </row>
    <row r="4" spans="1:11" ht="1" customHeight="1">
      <c r="A4" s="255"/>
      <c r="B4" s="59"/>
      <c r="C4" s="55"/>
      <c r="D4" s="56"/>
      <c r="E4" s="56"/>
      <c r="F4" s="55"/>
      <c r="G4" s="55"/>
      <c r="H4" s="154"/>
      <c r="I4" s="154"/>
      <c r="J4" s="252"/>
      <c r="K4" s="255"/>
    </row>
    <row r="5" spans="1:11" ht="0.5" customHeight="1" thickBot="1">
      <c r="A5" s="255"/>
      <c r="B5" s="59"/>
      <c r="C5" s="55"/>
      <c r="D5" s="56"/>
      <c r="E5" s="56"/>
      <c r="F5" s="55"/>
      <c r="G5" s="55"/>
      <c r="H5" s="154"/>
      <c r="I5" s="154"/>
      <c r="J5" s="252"/>
      <c r="K5" s="255"/>
    </row>
    <row r="6" spans="1:11" ht="15.5">
      <c r="A6" s="255"/>
      <c r="B6" s="59"/>
      <c r="C6" s="334" t="s">
        <v>28</v>
      </c>
      <c r="D6" s="336" t="s">
        <v>29</v>
      </c>
      <c r="E6" s="336"/>
      <c r="F6" s="337" t="s">
        <v>30</v>
      </c>
      <c r="G6" s="337"/>
      <c r="H6" s="337" t="s">
        <v>31</v>
      </c>
      <c r="I6" s="338"/>
      <c r="J6" s="252"/>
      <c r="K6" s="255"/>
    </row>
    <row r="7" spans="1:11" ht="16" thickBot="1">
      <c r="A7" s="255"/>
      <c r="B7" s="59"/>
      <c r="C7" s="335"/>
      <c r="D7" s="291" t="s">
        <v>32</v>
      </c>
      <c r="E7" s="291" t="s">
        <v>33</v>
      </c>
      <c r="F7" s="292" t="s">
        <v>32</v>
      </c>
      <c r="G7" s="292" t="s">
        <v>33</v>
      </c>
      <c r="H7" s="292" t="s">
        <v>32</v>
      </c>
      <c r="I7" s="293" t="s">
        <v>33</v>
      </c>
      <c r="J7" s="252"/>
      <c r="K7" s="255"/>
    </row>
    <row r="8" spans="1:11" ht="15.5">
      <c r="A8" s="255"/>
      <c r="B8" s="59"/>
      <c r="C8" s="339" t="s">
        <v>34</v>
      </c>
      <c r="D8" s="340"/>
      <c r="E8" s="340"/>
      <c r="F8" s="340"/>
      <c r="G8" s="340"/>
      <c r="H8" s="340"/>
      <c r="I8" s="341"/>
      <c r="J8" s="252"/>
      <c r="K8" s="255"/>
    </row>
    <row r="9" spans="1:11" ht="15.5">
      <c r="A9" s="255"/>
      <c r="B9" s="59"/>
      <c r="C9" s="294" t="s">
        <v>35</v>
      </c>
      <c r="D9" s="295" t="s">
        <v>36</v>
      </c>
      <c r="E9" s="295" t="s">
        <v>36</v>
      </c>
      <c r="F9" s="258">
        <v>46302</v>
      </c>
      <c r="G9" s="425">
        <v>46454</v>
      </c>
      <c r="H9" s="426" t="s">
        <v>36</v>
      </c>
      <c r="I9" s="427" t="s">
        <v>36</v>
      </c>
      <c r="J9" s="252"/>
      <c r="K9" s="255"/>
    </row>
    <row r="10" spans="1:11" ht="15.5">
      <c r="A10" s="255"/>
      <c r="B10" s="59"/>
      <c r="C10" s="297" t="s">
        <v>37</v>
      </c>
      <c r="D10" s="295" t="s">
        <v>36</v>
      </c>
      <c r="E10" s="295" t="s">
        <v>36</v>
      </c>
      <c r="F10" s="258">
        <v>46328</v>
      </c>
      <c r="G10" s="425">
        <v>46445</v>
      </c>
      <c r="H10" s="425">
        <v>46510</v>
      </c>
      <c r="I10" s="428">
        <v>46599</v>
      </c>
      <c r="J10" s="252"/>
      <c r="K10" s="255"/>
    </row>
    <row r="11" spans="1:11" ht="15.5">
      <c r="A11" s="255"/>
      <c r="B11" s="59"/>
      <c r="C11" s="297" t="s">
        <v>38</v>
      </c>
      <c r="D11" s="295" t="s">
        <v>36</v>
      </c>
      <c r="E11" s="295" t="s">
        <v>36</v>
      </c>
      <c r="F11" s="258">
        <v>46328</v>
      </c>
      <c r="G11" s="425">
        <v>46454</v>
      </c>
      <c r="H11" s="425">
        <v>46510</v>
      </c>
      <c r="I11" s="428">
        <v>46608</v>
      </c>
      <c r="J11" s="252"/>
      <c r="K11" s="255"/>
    </row>
    <row r="12" spans="1:11" ht="15.5">
      <c r="A12" s="255"/>
      <c r="B12" s="59"/>
      <c r="C12" s="297" t="s">
        <v>116</v>
      </c>
      <c r="D12" s="295" t="s">
        <v>36</v>
      </c>
      <c r="E12" s="295" t="s">
        <v>36</v>
      </c>
      <c r="F12" s="296">
        <v>46384</v>
      </c>
      <c r="G12" s="425">
        <v>46452</v>
      </c>
      <c r="H12" s="429">
        <v>46594</v>
      </c>
      <c r="I12" s="428">
        <v>46606</v>
      </c>
      <c r="J12" s="252"/>
      <c r="K12" s="255"/>
    </row>
    <row r="13" spans="1:11" ht="15.5">
      <c r="A13" s="255"/>
      <c r="B13" s="59"/>
      <c r="C13" s="297" t="s">
        <v>108</v>
      </c>
      <c r="D13" s="295" t="s">
        <v>36</v>
      </c>
      <c r="E13" s="295" t="s">
        <v>36</v>
      </c>
      <c r="F13" s="296">
        <v>46328</v>
      </c>
      <c r="G13" s="425">
        <v>46452</v>
      </c>
      <c r="H13" s="429">
        <v>46545</v>
      </c>
      <c r="I13" s="428">
        <v>46606</v>
      </c>
      <c r="J13" s="252"/>
      <c r="K13" s="255"/>
    </row>
    <row r="14" spans="1:11" ht="15" customHeight="1">
      <c r="A14" s="255"/>
      <c r="B14" s="59"/>
      <c r="C14" s="297" t="s">
        <v>117</v>
      </c>
      <c r="D14" s="295" t="s">
        <v>36</v>
      </c>
      <c r="E14" s="295" t="s">
        <v>36</v>
      </c>
      <c r="F14" s="296">
        <v>46384</v>
      </c>
      <c r="G14" s="425">
        <v>46454</v>
      </c>
      <c r="H14" s="429">
        <v>46594</v>
      </c>
      <c r="I14" s="428">
        <v>46608</v>
      </c>
      <c r="J14" s="252"/>
      <c r="K14" s="255"/>
    </row>
    <row r="15" spans="1:11" ht="15" customHeight="1">
      <c r="A15" s="255"/>
      <c r="B15" s="59"/>
      <c r="C15" s="297" t="s">
        <v>39</v>
      </c>
      <c r="D15" s="295" t="s">
        <v>36</v>
      </c>
      <c r="E15" s="295" t="s">
        <v>36</v>
      </c>
      <c r="F15" s="296">
        <v>46328</v>
      </c>
      <c r="G15" s="425">
        <v>46454</v>
      </c>
      <c r="H15" s="429">
        <v>46545</v>
      </c>
      <c r="I15" s="428">
        <v>46608</v>
      </c>
      <c r="J15" s="252"/>
      <c r="K15" s="255"/>
    </row>
    <row r="16" spans="1:11" ht="15" customHeight="1">
      <c r="A16" s="255"/>
      <c r="B16" s="59"/>
      <c r="C16" s="294" t="s">
        <v>40</v>
      </c>
      <c r="D16" s="295" t="s">
        <v>36</v>
      </c>
      <c r="E16" s="295" t="s">
        <v>36</v>
      </c>
      <c r="F16" s="258">
        <v>46357</v>
      </c>
      <c r="G16" s="425">
        <v>46396</v>
      </c>
      <c r="H16" s="425">
        <v>46569</v>
      </c>
      <c r="I16" s="428">
        <v>46592</v>
      </c>
      <c r="J16" s="252"/>
      <c r="K16" s="255"/>
    </row>
    <row r="17" spans="1:11" ht="15" customHeight="1" thickBot="1">
      <c r="A17" s="255"/>
      <c r="B17" s="59"/>
      <c r="C17" s="298" t="s">
        <v>41</v>
      </c>
      <c r="D17" s="299" t="s">
        <v>36</v>
      </c>
      <c r="E17" s="299" t="s">
        <v>36</v>
      </c>
      <c r="F17" s="300">
        <v>46398</v>
      </c>
      <c r="G17" s="425">
        <v>46454</v>
      </c>
      <c r="H17" s="430">
        <v>46594</v>
      </c>
      <c r="I17" s="428">
        <v>46608</v>
      </c>
      <c r="J17" s="252"/>
      <c r="K17" s="255"/>
    </row>
    <row r="18" spans="1:11" ht="15" customHeight="1">
      <c r="A18" s="255"/>
      <c r="B18" s="59"/>
      <c r="C18" s="339" t="s">
        <v>42</v>
      </c>
      <c r="D18" s="340"/>
      <c r="E18" s="340"/>
      <c r="F18" s="340"/>
      <c r="G18" s="340"/>
      <c r="H18" s="340"/>
      <c r="I18" s="341"/>
      <c r="J18" s="252"/>
      <c r="K18" s="255"/>
    </row>
    <row r="19" spans="1:11" ht="15" customHeight="1">
      <c r="A19" s="255"/>
      <c r="B19" s="59"/>
      <c r="C19" s="294" t="s">
        <v>107</v>
      </c>
      <c r="D19" s="301" t="s">
        <v>36</v>
      </c>
      <c r="E19" s="301" t="s">
        <v>36</v>
      </c>
      <c r="F19" s="258">
        <v>46314</v>
      </c>
      <c r="G19" s="258">
        <v>46444</v>
      </c>
      <c r="H19" s="302" t="s">
        <v>36</v>
      </c>
      <c r="I19" s="303" t="s">
        <v>36</v>
      </c>
      <c r="J19" s="252"/>
      <c r="K19" s="255"/>
    </row>
    <row r="20" spans="1:11" ht="15" customHeight="1">
      <c r="A20" s="255"/>
      <c r="B20" s="59"/>
      <c r="C20" s="294" t="s">
        <v>43</v>
      </c>
      <c r="D20" s="301" t="s">
        <v>36</v>
      </c>
      <c r="E20" s="301" t="s">
        <v>36</v>
      </c>
      <c r="F20" s="258">
        <v>46447</v>
      </c>
      <c r="G20" s="258">
        <v>46452</v>
      </c>
      <c r="H20" s="302" t="s">
        <v>36</v>
      </c>
      <c r="I20" s="303" t="s">
        <v>36</v>
      </c>
      <c r="J20" s="252"/>
      <c r="K20" s="255"/>
    </row>
    <row r="21" spans="1:11" ht="15" customHeight="1">
      <c r="A21" s="255"/>
      <c r="B21" s="59"/>
      <c r="C21" s="294" t="s">
        <v>44</v>
      </c>
      <c r="D21" s="301" t="s">
        <v>36</v>
      </c>
      <c r="E21" s="301" t="s">
        <v>36</v>
      </c>
      <c r="F21" s="258">
        <v>46447</v>
      </c>
      <c r="G21" s="258">
        <v>46452</v>
      </c>
      <c r="H21" s="425">
        <v>46601</v>
      </c>
      <c r="I21" s="305">
        <v>46606</v>
      </c>
      <c r="J21" s="252"/>
      <c r="K21" s="255"/>
    </row>
    <row r="22" spans="1:11" ht="15" customHeight="1">
      <c r="A22" s="255"/>
      <c r="B22" s="59"/>
      <c r="C22" s="294" t="s">
        <v>45</v>
      </c>
      <c r="D22" s="301" t="s">
        <v>36</v>
      </c>
      <c r="E22" s="301" t="s">
        <v>36</v>
      </c>
      <c r="F22" s="258">
        <v>46454</v>
      </c>
      <c r="G22" s="258">
        <v>46588</v>
      </c>
      <c r="H22" s="304">
        <v>46608</v>
      </c>
      <c r="I22" s="305">
        <v>46742</v>
      </c>
      <c r="J22" s="252"/>
      <c r="K22" s="255"/>
    </row>
    <row r="23" spans="1:11" ht="15" customHeight="1">
      <c r="A23" s="255"/>
      <c r="B23" s="59"/>
      <c r="C23" s="294" t="s">
        <v>46</v>
      </c>
      <c r="D23" s="258">
        <v>46391</v>
      </c>
      <c r="E23" s="258">
        <v>46423</v>
      </c>
      <c r="F23" s="301" t="s">
        <v>36</v>
      </c>
      <c r="G23" s="301" t="s">
        <v>36</v>
      </c>
      <c r="H23" s="302" t="s">
        <v>36</v>
      </c>
      <c r="I23" s="303" t="s">
        <v>36</v>
      </c>
      <c r="J23" s="252"/>
      <c r="K23" s="255"/>
    </row>
    <row r="24" spans="1:11" ht="15" customHeight="1" thickBot="1">
      <c r="A24" s="255"/>
      <c r="B24" s="59"/>
      <c r="C24" s="298" t="s">
        <v>47</v>
      </c>
      <c r="D24" s="342">
        <v>46426</v>
      </c>
      <c r="E24" s="342"/>
      <c r="F24" s="342">
        <v>46589</v>
      </c>
      <c r="G24" s="342"/>
      <c r="H24" s="343">
        <v>46743</v>
      </c>
      <c r="I24" s="344"/>
      <c r="J24" s="252"/>
      <c r="K24" s="255"/>
    </row>
    <row r="25" spans="1:11" ht="15" customHeight="1">
      <c r="A25" s="255"/>
      <c r="B25" s="59"/>
      <c r="C25" s="345" t="s">
        <v>26</v>
      </c>
      <c r="D25" s="340"/>
      <c r="E25" s="340"/>
      <c r="F25" s="340"/>
      <c r="G25" s="340"/>
      <c r="H25" s="340"/>
      <c r="I25" s="346"/>
      <c r="J25" s="252"/>
      <c r="K25" s="255"/>
    </row>
    <row r="26" spans="1:11" ht="15" customHeight="1">
      <c r="A26" s="255"/>
      <c r="B26" s="59"/>
      <c r="C26" s="262" t="s">
        <v>48</v>
      </c>
      <c r="D26" s="258">
        <v>46384</v>
      </c>
      <c r="E26" s="258">
        <v>46386</v>
      </c>
      <c r="F26" s="258">
        <v>46398</v>
      </c>
      <c r="G26" s="258">
        <v>46401</v>
      </c>
      <c r="H26" s="258">
        <v>46594</v>
      </c>
      <c r="I26" s="263">
        <v>46597</v>
      </c>
      <c r="J26" s="252"/>
      <c r="K26" s="255"/>
    </row>
    <row r="27" spans="1:11" ht="15" customHeight="1">
      <c r="A27" s="255"/>
      <c r="B27" s="59"/>
      <c r="C27" s="262" t="s">
        <v>49</v>
      </c>
      <c r="D27" s="258">
        <v>46387</v>
      </c>
      <c r="E27" s="258">
        <v>46390</v>
      </c>
      <c r="F27" s="258">
        <v>46402</v>
      </c>
      <c r="G27" s="258">
        <v>46452</v>
      </c>
      <c r="H27" s="304">
        <v>46598</v>
      </c>
      <c r="I27" s="307">
        <v>46606</v>
      </c>
      <c r="J27" s="252"/>
      <c r="K27" s="255"/>
    </row>
    <row r="28" spans="1:11" ht="15" customHeight="1">
      <c r="A28" s="255"/>
      <c r="B28" s="59"/>
      <c r="C28" s="262" t="s">
        <v>50</v>
      </c>
      <c r="D28" s="258">
        <v>46387</v>
      </c>
      <c r="E28" s="258">
        <v>46393</v>
      </c>
      <c r="F28" s="258">
        <v>46402</v>
      </c>
      <c r="G28" s="425">
        <v>46454</v>
      </c>
      <c r="H28" s="425">
        <v>46598</v>
      </c>
      <c r="I28" s="431">
        <v>46608</v>
      </c>
      <c r="J28" s="252"/>
      <c r="K28" s="255"/>
    </row>
    <row r="29" spans="1:11" ht="15" customHeight="1">
      <c r="A29" s="255"/>
      <c r="B29" s="59"/>
      <c r="C29" s="262" t="s">
        <v>51</v>
      </c>
      <c r="D29" s="301" t="s">
        <v>36</v>
      </c>
      <c r="E29" s="301" t="s">
        <v>36</v>
      </c>
      <c r="F29" s="258">
        <v>46402</v>
      </c>
      <c r="G29" s="425">
        <v>46456</v>
      </c>
      <c r="H29" s="425">
        <v>46598</v>
      </c>
      <c r="I29" s="431">
        <v>46610</v>
      </c>
      <c r="J29" s="252"/>
      <c r="K29" s="255"/>
    </row>
    <row r="30" spans="1:11" ht="15" customHeight="1" thickBot="1">
      <c r="A30" s="255"/>
      <c r="B30" s="59"/>
      <c r="C30" s="308" t="s">
        <v>106</v>
      </c>
      <c r="D30" s="309"/>
      <c r="E30" s="309" t="s">
        <v>36</v>
      </c>
      <c r="F30" s="342">
        <v>46374</v>
      </c>
      <c r="G30" s="347"/>
      <c r="H30" s="342">
        <v>46585</v>
      </c>
      <c r="I30" s="347"/>
      <c r="J30" s="252"/>
      <c r="K30" s="255"/>
    </row>
    <row r="31" spans="1:11" ht="15" customHeight="1">
      <c r="A31" s="255"/>
      <c r="B31" s="59"/>
      <c r="C31" s="330" t="s">
        <v>52</v>
      </c>
      <c r="D31" s="331"/>
      <c r="E31" s="331"/>
      <c r="F31" s="331"/>
      <c r="G31" s="331"/>
      <c r="H31" s="331"/>
      <c r="I31" s="332"/>
      <c r="J31" s="252"/>
      <c r="K31" s="255"/>
    </row>
    <row r="32" spans="1:11" ht="15" customHeight="1">
      <c r="A32" s="255"/>
      <c r="B32" s="59"/>
      <c r="C32" s="294" t="s">
        <v>53</v>
      </c>
      <c r="D32" s="301" t="s">
        <v>36</v>
      </c>
      <c r="E32" s="301" t="s">
        <v>36</v>
      </c>
      <c r="F32" s="258">
        <v>46454</v>
      </c>
      <c r="G32" s="258">
        <v>46466</v>
      </c>
      <c r="H32" s="302" t="s">
        <v>36</v>
      </c>
      <c r="I32" s="303" t="s">
        <v>36</v>
      </c>
      <c r="J32" s="252"/>
      <c r="K32" s="255"/>
    </row>
    <row r="33" spans="1:11" ht="15" customHeight="1">
      <c r="A33" s="255"/>
      <c r="B33" s="59"/>
      <c r="C33" s="294" t="s">
        <v>54</v>
      </c>
      <c r="D33" s="301"/>
      <c r="E33" s="301" t="s">
        <v>36</v>
      </c>
      <c r="F33" s="258">
        <v>46475</v>
      </c>
      <c r="G33" s="258">
        <v>46480</v>
      </c>
      <c r="H33" s="302" t="s">
        <v>36</v>
      </c>
      <c r="I33" s="303" t="s">
        <v>36</v>
      </c>
      <c r="J33" s="252"/>
      <c r="K33" s="255"/>
    </row>
    <row r="34" spans="1:11" ht="15" customHeight="1">
      <c r="A34" s="255"/>
      <c r="B34" s="59"/>
      <c r="C34" s="294" t="s">
        <v>55</v>
      </c>
      <c r="D34" s="301" t="s">
        <v>36</v>
      </c>
      <c r="E34" s="301" t="s">
        <v>36</v>
      </c>
      <c r="F34" s="304">
        <v>46531</v>
      </c>
      <c r="G34" s="304">
        <v>46550</v>
      </c>
      <c r="H34" s="304">
        <v>46685</v>
      </c>
      <c r="I34" s="305">
        <v>46704</v>
      </c>
      <c r="J34" s="252"/>
      <c r="K34" s="255"/>
    </row>
    <row r="35" spans="1:11" ht="15" customHeight="1" thickBot="1">
      <c r="A35" s="255"/>
      <c r="B35" s="59"/>
      <c r="C35" s="310" t="s">
        <v>56</v>
      </c>
      <c r="D35" s="311" t="s">
        <v>36</v>
      </c>
      <c r="E35" s="311" t="s">
        <v>36</v>
      </c>
      <c r="F35" s="312">
        <v>46573</v>
      </c>
      <c r="G35" s="312">
        <v>46588</v>
      </c>
      <c r="H35" s="313">
        <v>46727</v>
      </c>
      <c r="I35" s="314">
        <v>46742</v>
      </c>
      <c r="J35" s="252"/>
      <c r="K35" s="255"/>
    </row>
    <row r="36" spans="1:11" ht="15" customHeight="1">
      <c r="A36" s="255"/>
      <c r="B36" s="59"/>
      <c r="C36" s="345" t="s">
        <v>57</v>
      </c>
      <c r="D36" s="340"/>
      <c r="E36" s="340"/>
      <c r="F36" s="340"/>
      <c r="G36" s="340"/>
      <c r="H36" s="340"/>
      <c r="I36" s="346"/>
      <c r="J36" s="252"/>
      <c r="K36" s="255"/>
    </row>
    <row r="37" spans="1:11" ht="15" customHeight="1">
      <c r="A37" s="255"/>
      <c r="B37" s="59"/>
      <c r="C37" s="262" t="s">
        <v>58</v>
      </c>
      <c r="D37" s="301" t="s">
        <v>36</v>
      </c>
      <c r="E37" s="301" t="s">
        <v>36</v>
      </c>
      <c r="F37" s="258">
        <v>46380</v>
      </c>
      <c r="G37" s="258">
        <v>46452</v>
      </c>
      <c r="H37" s="304">
        <v>46590</v>
      </c>
      <c r="I37" s="307">
        <v>46606</v>
      </c>
      <c r="J37" s="252"/>
      <c r="K37" s="255"/>
    </row>
    <row r="38" spans="1:11" ht="15" customHeight="1">
      <c r="A38" s="255"/>
      <c r="B38" s="59"/>
      <c r="C38" s="262" t="s">
        <v>59</v>
      </c>
      <c r="D38" s="301" t="s">
        <v>36</v>
      </c>
      <c r="E38" s="301" t="s">
        <v>36</v>
      </c>
      <c r="F38" s="258">
        <v>46380</v>
      </c>
      <c r="G38" s="258">
        <v>46468</v>
      </c>
      <c r="H38" s="304">
        <v>46591</v>
      </c>
      <c r="I38" s="307">
        <v>46622</v>
      </c>
      <c r="J38" s="252"/>
      <c r="K38" s="255"/>
    </row>
    <row r="39" spans="1:11" ht="15" customHeight="1">
      <c r="A39" s="255"/>
      <c r="B39" s="59"/>
      <c r="C39" s="262" t="s">
        <v>60</v>
      </c>
      <c r="D39" s="301" t="s">
        <v>36</v>
      </c>
      <c r="E39" s="301" t="s">
        <v>36</v>
      </c>
      <c r="F39" s="258">
        <v>46454</v>
      </c>
      <c r="G39" s="258">
        <v>46487</v>
      </c>
      <c r="H39" s="304">
        <v>46608</v>
      </c>
      <c r="I39" s="307">
        <v>46641</v>
      </c>
      <c r="J39" s="252"/>
      <c r="K39" s="255"/>
    </row>
    <row r="40" spans="1:11" ht="15" customHeight="1">
      <c r="A40" s="255"/>
      <c r="B40" s="59"/>
      <c r="C40" s="262" t="s">
        <v>61</v>
      </c>
      <c r="D40" s="301" t="s">
        <v>36</v>
      </c>
      <c r="E40" s="301" t="s">
        <v>36</v>
      </c>
      <c r="F40" s="258">
        <v>46545</v>
      </c>
      <c r="G40" s="258">
        <v>46588</v>
      </c>
      <c r="H40" s="304">
        <v>46699</v>
      </c>
      <c r="I40" s="307">
        <v>46742</v>
      </c>
      <c r="J40" s="252"/>
      <c r="K40" s="255"/>
    </row>
    <row r="41" spans="1:11" ht="15" customHeight="1">
      <c r="A41" s="255"/>
      <c r="B41" s="59"/>
      <c r="C41" s="261" t="s">
        <v>102</v>
      </c>
      <c r="D41" s="301" t="s">
        <v>36</v>
      </c>
      <c r="E41" s="301" t="s">
        <v>36</v>
      </c>
      <c r="F41" s="326">
        <v>46571</v>
      </c>
      <c r="G41" s="326"/>
      <c r="H41" s="326">
        <v>46725</v>
      </c>
      <c r="I41" s="329"/>
      <c r="J41" s="252"/>
      <c r="K41" s="255"/>
    </row>
    <row r="42" spans="1:11" ht="15" customHeight="1" thickBot="1">
      <c r="A42" s="255"/>
      <c r="B42" s="59"/>
      <c r="C42" s="308" t="s">
        <v>104</v>
      </c>
      <c r="D42" s="309"/>
      <c r="E42" s="309" t="s">
        <v>36</v>
      </c>
      <c r="F42" s="342">
        <v>46571</v>
      </c>
      <c r="G42" s="342"/>
      <c r="H42" s="342">
        <v>46725</v>
      </c>
      <c r="I42" s="347"/>
      <c r="J42" s="252"/>
      <c r="K42" s="255"/>
    </row>
    <row r="43" spans="1:11" ht="15" customHeight="1">
      <c r="A43" s="255"/>
      <c r="B43" s="59"/>
      <c r="C43" s="348" t="s">
        <v>62</v>
      </c>
      <c r="D43" s="331"/>
      <c r="E43" s="331"/>
      <c r="F43" s="331"/>
      <c r="G43" s="331"/>
      <c r="H43" s="331"/>
      <c r="I43" s="349"/>
      <c r="J43" s="252"/>
      <c r="K43" s="255"/>
    </row>
    <row r="44" spans="1:11" ht="15" customHeight="1" thickBot="1">
      <c r="A44" s="255"/>
      <c r="B44" s="59"/>
      <c r="C44" s="308" t="s">
        <v>63</v>
      </c>
      <c r="D44" s="309" t="s">
        <v>36</v>
      </c>
      <c r="E44" s="309" t="s">
        <v>36</v>
      </c>
      <c r="F44" s="300">
        <v>46391</v>
      </c>
      <c r="G44" s="300">
        <v>46397</v>
      </c>
      <c r="H44" s="306">
        <v>46589</v>
      </c>
      <c r="I44" s="315">
        <v>46595</v>
      </c>
      <c r="J44" s="252"/>
      <c r="K44" s="255"/>
    </row>
    <row r="45" spans="1:11" ht="15" customHeight="1">
      <c r="A45" s="255"/>
      <c r="B45" s="59"/>
      <c r="C45" s="350" t="s">
        <v>97</v>
      </c>
      <c r="D45" s="351"/>
      <c r="E45" s="351"/>
      <c r="F45" s="351"/>
      <c r="G45" s="351"/>
      <c r="H45" s="351"/>
      <c r="I45" s="352"/>
      <c r="J45" s="252"/>
      <c r="K45" s="255"/>
    </row>
    <row r="46" spans="1:11" ht="15" customHeight="1">
      <c r="A46" s="255"/>
      <c r="B46" s="59"/>
      <c r="C46" s="419" t="s">
        <v>121</v>
      </c>
      <c r="D46" s="432" t="s">
        <v>100</v>
      </c>
      <c r="E46" s="432" t="s">
        <v>100</v>
      </c>
      <c r="F46" s="425">
        <v>46482</v>
      </c>
      <c r="G46" s="425">
        <v>46487</v>
      </c>
      <c r="H46" s="425">
        <v>46636</v>
      </c>
      <c r="I46" s="431">
        <v>46641</v>
      </c>
      <c r="J46" s="252"/>
      <c r="K46" s="255"/>
    </row>
    <row r="47" spans="1:11" ht="15" customHeight="1">
      <c r="A47" s="255"/>
      <c r="B47" s="59"/>
      <c r="C47" s="316" t="s">
        <v>98</v>
      </c>
      <c r="D47" s="302" t="s">
        <v>100</v>
      </c>
      <c r="E47" s="302" t="s">
        <v>100</v>
      </c>
      <c r="F47" s="304">
        <v>46491</v>
      </c>
      <c r="G47" s="304">
        <v>46494</v>
      </c>
      <c r="H47" s="304" t="s">
        <v>101</v>
      </c>
      <c r="I47" s="307" t="s">
        <v>101</v>
      </c>
      <c r="J47" s="252"/>
      <c r="K47" s="255"/>
    </row>
    <row r="48" spans="1:11" ht="15" customHeight="1" thickBot="1">
      <c r="A48" s="255"/>
      <c r="B48" s="59"/>
      <c r="C48" s="317" t="s">
        <v>99</v>
      </c>
      <c r="D48" s="318" t="s">
        <v>100</v>
      </c>
      <c r="E48" s="318" t="s">
        <v>100</v>
      </c>
      <c r="F48" s="306">
        <v>46503</v>
      </c>
      <c r="G48" s="306">
        <v>46508</v>
      </c>
      <c r="H48" s="306" t="s">
        <v>101</v>
      </c>
      <c r="I48" s="315" t="s">
        <v>101</v>
      </c>
      <c r="J48" s="252"/>
      <c r="K48" s="255"/>
    </row>
    <row r="49" spans="1:11" ht="15" customHeight="1">
      <c r="A49" s="255"/>
      <c r="B49" s="59"/>
      <c r="C49" s="348" t="s">
        <v>64</v>
      </c>
      <c r="D49" s="331"/>
      <c r="E49" s="331"/>
      <c r="F49" s="331"/>
      <c r="G49" s="331"/>
      <c r="H49" s="331"/>
      <c r="I49" s="349"/>
      <c r="J49" s="252"/>
      <c r="K49" s="255"/>
    </row>
    <row r="50" spans="1:11" ht="15" customHeight="1">
      <c r="A50" s="255"/>
      <c r="B50" s="59"/>
      <c r="C50" s="319" t="s">
        <v>65</v>
      </c>
      <c r="D50" s="326" t="s">
        <v>36</v>
      </c>
      <c r="E50" s="326"/>
      <c r="F50" s="326">
        <v>46388</v>
      </c>
      <c r="G50" s="326"/>
      <c r="H50" s="327" t="s">
        <v>36</v>
      </c>
      <c r="I50" s="328"/>
      <c r="J50" s="252"/>
      <c r="K50" s="255"/>
    </row>
    <row r="51" spans="1:11" ht="15" customHeight="1">
      <c r="A51" s="255"/>
      <c r="B51" s="59"/>
      <c r="C51" s="319" t="s">
        <v>66</v>
      </c>
      <c r="D51" s="326" t="s">
        <v>36</v>
      </c>
      <c r="E51" s="326"/>
      <c r="F51" s="326">
        <v>46471</v>
      </c>
      <c r="G51" s="326"/>
      <c r="H51" s="327" t="s">
        <v>36</v>
      </c>
      <c r="I51" s="328"/>
      <c r="J51" s="252"/>
      <c r="K51" s="255"/>
    </row>
    <row r="52" spans="1:11" ht="15" customHeight="1">
      <c r="A52" s="255"/>
      <c r="B52" s="59"/>
      <c r="C52" s="319" t="s">
        <v>67</v>
      </c>
      <c r="D52" s="326" t="s">
        <v>36</v>
      </c>
      <c r="E52" s="326"/>
      <c r="F52" s="258">
        <v>46472</v>
      </c>
      <c r="G52" s="258">
        <v>46473</v>
      </c>
      <c r="H52" s="327" t="s">
        <v>36</v>
      </c>
      <c r="I52" s="328"/>
      <c r="J52" s="252"/>
      <c r="K52" s="255"/>
    </row>
    <row r="53" spans="1:11" ht="15" customHeight="1">
      <c r="A53" s="255"/>
      <c r="B53" s="59"/>
      <c r="C53" s="319" t="s">
        <v>68</v>
      </c>
      <c r="D53" s="326" t="s">
        <v>36</v>
      </c>
      <c r="E53" s="326"/>
      <c r="F53" s="326">
        <v>46508</v>
      </c>
      <c r="G53" s="326"/>
      <c r="H53" s="327" t="s">
        <v>36</v>
      </c>
      <c r="I53" s="328"/>
      <c r="J53" s="252"/>
      <c r="K53" s="255"/>
    </row>
    <row r="54" spans="1:11" ht="15" customHeight="1">
      <c r="A54" s="255"/>
      <c r="B54" s="59"/>
      <c r="C54" s="319" t="s">
        <v>69</v>
      </c>
      <c r="D54" s="326" t="s">
        <v>36</v>
      </c>
      <c r="E54" s="326"/>
      <c r="F54" s="326">
        <v>46528</v>
      </c>
      <c r="G54" s="326"/>
      <c r="H54" s="327" t="s">
        <v>36</v>
      </c>
      <c r="I54" s="328"/>
      <c r="J54" s="252"/>
      <c r="K54" s="255"/>
    </row>
    <row r="55" spans="1:11" ht="15" customHeight="1">
      <c r="A55" s="255"/>
      <c r="B55" s="59"/>
      <c r="C55" s="319" t="s">
        <v>70</v>
      </c>
      <c r="D55" s="326" t="s">
        <v>36</v>
      </c>
      <c r="E55" s="326"/>
      <c r="F55" s="326">
        <v>46559</v>
      </c>
      <c r="G55" s="326"/>
      <c r="H55" s="327" t="s">
        <v>36</v>
      </c>
      <c r="I55" s="328"/>
      <c r="J55" s="252"/>
      <c r="K55" s="255"/>
    </row>
    <row r="56" spans="1:11" ht="15" customHeight="1">
      <c r="A56" s="255"/>
      <c r="B56" s="59"/>
      <c r="C56" s="319" t="s">
        <v>71</v>
      </c>
      <c r="D56" s="326" t="s">
        <v>36</v>
      </c>
      <c r="E56" s="326"/>
      <c r="F56" s="326">
        <v>46566</v>
      </c>
      <c r="G56" s="326"/>
      <c r="H56" s="327" t="s">
        <v>36</v>
      </c>
      <c r="I56" s="328"/>
      <c r="J56" s="252"/>
      <c r="K56" s="255"/>
    </row>
    <row r="57" spans="1:11" ht="15" customHeight="1">
      <c r="A57" s="255"/>
      <c r="B57" s="59"/>
      <c r="C57" s="319" t="s">
        <v>72</v>
      </c>
      <c r="D57" s="326" t="s">
        <v>36</v>
      </c>
      <c r="E57" s="326"/>
      <c r="F57" s="326">
        <v>46584</v>
      </c>
      <c r="G57" s="326"/>
      <c r="H57" s="327" t="s">
        <v>36</v>
      </c>
      <c r="I57" s="328"/>
      <c r="J57" s="252"/>
      <c r="K57" s="255"/>
    </row>
    <row r="58" spans="1:11" ht="15" customHeight="1">
      <c r="A58" s="255"/>
      <c r="B58" s="59"/>
      <c r="C58" s="321" t="s">
        <v>73</v>
      </c>
      <c r="D58" s="326" t="s">
        <v>36</v>
      </c>
      <c r="E58" s="326"/>
      <c r="F58" s="326" t="s">
        <v>36</v>
      </c>
      <c r="G58" s="326"/>
      <c r="H58" s="327">
        <v>46614</v>
      </c>
      <c r="I58" s="328"/>
      <c r="J58" s="252"/>
      <c r="K58" s="255"/>
    </row>
    <row r="59" spans="1:11" ht="15" customHeight="1">
      <c r="A59" s="255"/>
      <c r="B59" s="59"/>
      <c r="C59" s="322" t="s">
        <v>74</v>
      </c>
      <c r="D59" s="326" t="s">
        <v>36</v>
      </c>
      <c r="E59" s="326"/>
      <c r="F59" s="326" t="s">
        <v>36</v>
      </c>
      <c r="G59" s="326"/>
      <c r="H59" s="327">
        <v>46646</v>
      </c>
      <c r="I59" s="328"/>
      <c r="J59" s="252"/>
      <c r="K59" s="255"/>
    </row>
    <row r="60" spans="1:11" ht="15" customHeight="1">
      <c r="A60" s="255"/>
      <c r="B60" s="59"/>
      <c r="C60" s="321" t="s">
        <v>118</v>
      </c>
      <c r="D60" s="326" t="s">
        <v>36</v>
      </c>
      <c r="E60" s="326"/>
      <c r="F60" s="326" t="s">
        <v>36</v>
      </c>
      <c r="G60" s="326"/>
      <c r="H60" s="327">
        <v>46647</v>
      </c>
      <c r="I60" s="328"/>
      <c r="J60" s="252"/>
      <c r="K60" s="255"/>
    </row>
    <row r="61" spans="1:11" ht="15" customHeight="1">
      <c r="A61" s="255"/>
      <c r="B61" s="59"/>
      <c r="C61" s="321" t="s">
        <v>75</v>
      </c>
      <c r="D61" s="326" t="s">
        <v>36</v>
      </c>
      <c r="E61" s="326"/>
      <c r="F61" s="326" t="s">
        <v>36</v>
      </c>
      <c r="G61" s="326"/>
      <c r="H61" s="304">
        <v>46648</v>
      </c>
      <c r="I61" s="320">
        <v>46649</v>
      </c>
      <c r="J61" s="252"/>
      <c r="K61" s="255"/>
    </row>
    <row r="62" spans="1:11" ht="15" customHeight="1">
      <c r="A62" s="255"/>
      <c r="B62" s="59"/>
      <c r="C62" s="321" t="s">
        <v>76</v>
      </c>
      <c r="D62" s="326" t="s">
        <v>36</v>
      </c>
      <c r="E62" s="326"/>
      <c r="F62" s="326" t="s">
        <v>36</v>
      </c>
      <c r="G62" s="326"/>
      <c r="H62" s="327">
        <v>46671</v>
      </c>
      <c r="I62" s="328"/>
      <c r="J62" s="252"/>
      <c r="K62" s="255"/>
    </row>
    <row r="63" spans="1:11" ht="15" customHeight="1">
      <c r="A63" s="255"/>
      <c r="B63" s="59"/>
      <c r="C63" s="321" t="s">
        <v>77</v>
      </c>
      <c r="D63" s="326" t="s">
        <v>36</v>
      </c>
      <c r="E63" s="326"/>
      <c r="F63" s="326" t="s">
        <v>36</v>
      </c>
      <c r="G63" s="326"/>
      <c r="H63" s="327">
        <v>46691</v>
      </c>
      <c r="I63" s="328"/>
      <c r="J63" s="252"/>
      <c r="K63" s="255"/>
    </row>
    <row r="64" spans="1:11" ht="15" customHeight="1">
      <c r="A64" s="255"/>
      <c r="B64" s="59"/>
      <c r="C64" s="321" t="s">
        <v>78</v>
      </c>
      <c r="D64" s="326" t="s">
        <v>36</v>
      </c>
      <c r="E64" s="326"/>
      <c r="F64" s="326" t="s">
        <v>36</v>
      </c>
      <c r="G64" s="326"/>
      <c r="H64" s="327">
        <v>46692</v>
      </c>
      <c r="I64" s="328"/>
      <c r="J64" s="252"/>
      <c r="K64" s="255"/>
    </row>
    <row r="65" spans="1:11" ht="15" customHeight="1">
      <c r="A65" s="255"/>
      <c r="B65" s="59"/>
      <c r="C65" s="321" t="s">
        <v>120</v>
      </c>
      <c r="D65" s="301"/>
      <c r="E65" s="301"/>
      <c r="F65" s="326" t="s">
        <v>36</v>
      </c>
      <c r="G65" s="326"/>
      <c r="H65" s="327">
        <v>46702</v>
      </c>
      <c r="I65" s="328"/>
      <c r="J65" s="252"/>
      <c r="K65" s="255"/>
    </row>
    <row r="66" spans="1:11" ht="15" customHeight="1">
      <c r="A66" s="255"/>
      <c r="B66" s="59"/>
      <c r="C66" s="322" t="s">
        <v>91</v>
      </c>
      <c r="D66" s="326" t="s">
        <v>36</v>
      </c>
      <c r="E66" s="326"/>
      <c r="F66" s="326" t="s">
        <v>36</v>
      </c>
      <c r="G66" s="326"/>
      <c r="H66" s="327">
        <v>46729</v>
      </c>
      <c r="I66" s="328"/>
      <c r="J66" s="252"/>
      <c r="K66" s="255"/>
    </row>
    <row r="67" spans="1:11" ht="15" customHeight="1">
      <c r="A67" s="255"/>
      <c r="B67" s="59"/>
      <c r="C67" s="321" t="s">
        <v>79</v>
      </c>
      <c r="D67" s="326" t="s">
        <v>36</v>
      </c>
      <c r="E67" s="326"/>
      <c r="F67" s="326" t="s">
        <v>36</v>
      </c>
      <c r="G67" s="326"/>
      <c r="H67" s="327">
        <v>46745</v>
      </c>
      <c r="I67" s="328"/>
      <c r="J67" s="252"/>
      <c r="K67" s="255"/>
    </row>
    <row r="68" spans="1:11" ht="15" customHeight="1">
      <c r="A68" s="255"/>
      <c r="B68" s="59"/>
      <c r="C68" s="321" t="s">
        <v>80</v>
      </c>
      <c r="D68" s="326" t="s">
        <v>36</v>
      </c>
      <c r="E68" s="326"/>
      <c r="F68" s="326" t="s">
        <v>36</v>
      </c>
      <c r="G68" s="326"/>
      <c r="H68" s="327">
        <v>46746</v>
      </c>
      <c r="I68" s="328"/>
      <c r="J68" s="252"/>
      <c r="K68" s="255"/>
    </row>
    <row r="69" spans="1:11" ht="15" customHeight="1" thickBot="1">
      <c r="A69" s="255"/>
      <c r="B69" s="59"/>
      <c r="C69" s="323" t="s">
        <v>81</v>
      </c>
      <c r="D69" s="342" t="s">
        <v>36</v>
      </c>
      <c r="E69" s="342"/>
      <c r="F69" s="342" t="s">
        <v>36</v>
      </c>
      <c r="G69" s="342"/>
      <c r="H69" s="343">
        <v>46752</v>
      </c>
      <c r="I69" s="353"/>
      <c r="J69" s="252"/>
      <c r="K69" s="255"/>
    </row>
    <row r="70" spans="1:11">
      <c r="A70" s="255"/>
      <c r="B70" s="59"/>
      <c r="C70" s="59"/>
      <c r="D70" s="251"/>
      <c r="E70" s="251"/>
      <c r="F70" s="61"/>
      <c r="G70" s="61"/>
      <c r="H70" s="61"/>
      <c r="I70" s="61"/>
      <c r="J70" s="252"/>
      <c r="K70" s="255"/>
    </row>
    <row r="71" spans="1:1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</row>
    <row r="72" spans="1:11">
      <c r="H72" s="58"/>
      <c r="I72" s="58"/>
    </row>
    <row r="73" spans="1:11">
      <c r="H73" s="58"/>
      <c r="I73" s="58"/>
    </row>
    <row r="74" spans="1:11">
      <c r="H74" s="58"/>
      <c r="I74" s="58"/>
    </row>
    <row r="75" spans="1:11">
      <c r="H75" s="58"/>
      <c r="I75" s="58"/>
    </row>
    <row r="76" spans="1:11">
      <c r="H76" s="58"/>
      <c r="I76" s="58"/>
    </row>
    <row r="77" spans="1:11">
      <c r="H77" s="58"/>
      <c r="I77" s="58"/>
    </row>
    <row r="78" spans="1:11">
      <c r="H78" s="58"/>
      <c r="I78" s="58"/>
    </row>
    <row r="79" spans="1:11">
      <c r="H79" s="58"/>
      <c r="I79" s="58"/>
    </row>
    <row r="80" spans="1:11">
      <c r="H80" s="58"/>
      <c r="I80" s="58"/>
    </row>
    <row r="81" spans="8:9">
      <c r="H81" s="58"/>
      <c r="I81" s="58"/>
    </row>
    <row r="82" spans="8:9">
      <c r="H82" s="58"/>
      <c r="I82" s="58"/>
    </row>
    <row r="83" spans="8:9">
      <c r="H83" s="58"/>
      <c r="I83" s="58"/>
    </row>
    <row r="84" spans="8:9">
      <c r="H84" s="58"/>
      <c r="I84" s="58"/>
    </row>
    <row r="85" spans="8:9">
      <c r="H85" s="58"/>
      <c r="I85" s="58"/>
    </row>
    <row r="86" spans="8:9">
      <c r="H86" s="58"/>
      <c r="I86" s="58"/>
    </row>
    <row r="87" spans="8:9">
      <c r="H87" s="58"/>
      <c r="I87" s="58"/>
    </row>
    <row r="88" spans="8:9">
      <c r="H88" s="58"/>
      <c r="I88" s="58"/>
    </row>
    <row r="89" spans="8:9">
      <c r="H89" s="58"/>
      <c r="I89" s="58"/>
    </row>
    <row r="90" spans="8:9">
      <c r="H90" s="58"/>
      <c r="I90" s="58"/>
    </row>
    <row r="91" spans="8:9">
      <c r="H91" s="58"/>
      <c r="I91" s="58"/>
    </row>
    <row r="92" spans="8:9">
      <c r="H92" s="58"/>
      <c r="I92" s="58"/>
    </row>
    <row r="93" spans="8:9">
      <c r="H93" s="58"/>
      <c r="I93" s="58"/>
    </row>
    <row r="94" spans="8:9">
      <c r="H94" s="58"/>
      <c r="I94" s="58"/>
    </row>
    <row r="95" spans="8:9">
      <c r="H95" s="58"/>
      <c r="I95" s="58"/>
    </row>
    <row r="96" spans="8:9">
      <c r="H96" s="58"/>
      <c r="I96" s="58"/>
    </row>
    <row r="97" spans="8:9">
      <c r="H97" s="58"/>
      <c r="I97" s="58"/>
    </row>
    <row r="98" spans="8:9">
      <c r="H98" s="58"/>
      <c r="I98" s="58"/>
    </row>
    <row r="99" spans="8:9">
      <c r="H99" s="58"/>
      <c r="I99" s="58"/>
    </row>
    <row r="100" spans="8:9">
      <c r="H100" s="58"/>
      <c r="I100" s="58"/>
    </row>
    <row r="101" spans="8:9">
      <c r="H101" s="58"/>
      <c r="I101" s="58"/>
    </row>
    <row r="102" spans="8:9">
      <c r="H102" s="58"/>
      <c r="I102" s="58"/>
    </row>
    <row r="103" spans="8:9">
      <c r="H103" s="58"/>
      <c r="I103" s="58"/>
    </row>
    <row r="104" spans="8:9">
      <c r="H104" s="58"/>
      <c r="I104" s="58"/>
    </row>
    <row r="105" spans="8:9">
      <c r="H105" s="58"/>
      <c r="I105" s="58"/>
    </row>
    <row r="106" spans="8:9">
      <c r="H106" s="58"/>
      <c r="I106" s="58"/>
    </row>
    <row r="107" spans="8:9">
      <c r="H107" s="58"/>
      <c r="I107" s="58"/>
    </row>
    <row r="108" spans="8:9">
      <c r="H108" s="58"/>
      <c r="I108" s="58"/>
    </row>
    <row r="109" spans="8:9">
      <c r="H109" s="58"/>
      <c r="I109" s="58"/>
    </row>
    <row r="110" spans="8:9">
      <c r="H110" s="58"/>
      <c r="I110" s="58"/>
    </row>
    <row r="111" spans="8:9">
      <c r="H111" s="58"/>
      <c r="I111" s="58"/>
    </row>
    <row r="112" spans="8:9">
      <c r="H112" s="58"/>
      <c r="I112" s="58"/>
    </row>
    <row r="113" spans="8:9">
      <c r="H113" s="58"/>
      <c r="I113" s="58"/>
    </row>
    <row r="114" spans="8:9">
      <c r="H114" s="58"/>
      <c r="I114" s="58"/>
    </row>
    <row r="115" spans="8:9">
      <c r="H115" s="58"/>
      <c r="I115" s="58"/>
    </row>
    <row r="116" spans="8:9">
      <c r="H116" s="58"/>
      <c r="I116" s="58"/>
    </row>
    <row r="117" spans="8:9">
      <c r="H117" s="58"/>
      <c r="I117" s="58"/>
    </row>
    <row r="118" spans="8:9">
      <c r="H118" s="58"/>
      <c r="I118" s="58"/>
    </row>
    <row r="119" spans="8:9">
      <c r="H119" s="58"/>
      <c r="I119" s="58"/>
    </row>
    <row r="120" spans="8:9">
      <c r="H120" s="58"/>
      <c r="I120" s="58"/>
    </row>
    <row r="121" spans="8:9">
      <c r="H121" s="58"/>
      <c r="I121" s="58"/>
    </row>
    <row r="122" spans="8:9">
      <c r="H122" s="58"/>
      <c r="I122" s="58"/>
    </row>
    <row r="123" spans="8:9">
      <c r="H123" s="58"/>
      <c r="I123" s="58"/>
    </row>
    <row r="124" spans="8:9">
      <c r="H124" s="58"/>
      <c r="I124" s="58"/>
    </row>
    <row r="125" spans="8:9">
      <c r="H125" s="58"/>
      <c r="I125" s="58"/>
    </row>
    <row r="126" spans="8:9">
      <c r="H126" s="58"/>
      <c r="I126" s="58"/>
    </row>
    <row r="127" spans="8:9">
      <c r="H127" s="58"/>
      <c r="I127" s="58"/>
    </row>
    <row r="128" spans="8:9">
      <c r="H128" s="58"/>
      <c r="I128" s="58"/>
    </row>
    <row r="129" spans="8:9">
      <c r="H129" s="58"/>
      <c r="I129" s="58"/>
    </row>
    <row r="130" spans="8:9">
      <c r="H130" s="58"/>
      <c r="I130" s="58"/>
    </row>
    <row r="131" spans="8:9">
      <c r="H131" s="58"/>
      <c r="I131" s="58"/>
    </row>
    <row r="132" spans="8:9">
      <c r="H132" s="58"/>
      <c r="I132" s="58"/>
    </row>
    <row r="133" spans="8:9">
      <c r="H133" s="58"/>
      <c r="I133" s="58"/>
    </row>
    <row r="134" spans="8:9">
      <c r="H134" s="58"/>
      <c r="I134" s="58"/>
    </row>
    <row r="135" spans="8:9">
      <c r="H135" s="58"/>
      <c r="I135" s="58"/>
    </row>
    <row r="136" spans="8:9">
      <c r="H136" s="58"/>
      <c r="I136" s="58"/>
    </row>
    <row r="137" spans="8:9">
      <c r="H137" s="58"/>
      <c r="I137" s="58"/>
    </row>
    <row r="138" spans="8:9">
      <c r="H138" s="58"/>
      <c r="I138" s="58"/>
    </row>
    <row r="139" spans="8:9">
      <c r="H139" s="58"/>
      <c r="I139" s="58"/>
    </row>
    <row r="140" spans="8:9">
      <c r="H140" s="58"/>
      <c r="I140" s="58"/>
    </row>
    <row r="141" spans="8:9">
      <c r="H141" s="58"/>
      <c r="I141" s="58"/>
    </row>
    <row r="142" spans="8:9">
      <c r="H142" s="58"/>
      <c r="I142" s="58"/>
    </row>
    <row r="143" spans="8:9">
      <c r="H143" s="58"/>
      <c r="I143" s="58"/>
    </row>
    <row r="144" spans="8:9">
      <c r="H144" s="58"/>
      <c r="I144" s="58"/>
    </row>
    <row r="145" spans="8:9">
      <c r="H145" s="58"/>
      <c r="I145" s="58"/>
    </row>
    <row r="146" spans="8:9">
      <c r="H146" s="58"/>
      <c r="I146" s="58"/>
    </row>
    <row r="147" spans="8:9">
      <c r="H147" s="58"/>
      <c r="I147" s="58"/>
    </row>
    <row r="148" spans="8:9">
      <c r="H148" s="58"/>
      <c r="I148" s="58"/>
    </row>
    <row r="149" spans="8:9">
      <c r="H149" s="58"/>
      <c r="I149" s="58"/>
    </row>
    <row r="150" spans="8:9">
      <c r="H150" s="58"/>
      <c r="I150" s="58"/>
    </row>
    <row r="151" spans="8:9">
      <c r="H151" s="58"/>
      <c r="I151" s="58"/>
    </row>
    <row r="152" spans="8:9">
      <c r="H152" s="58"/>
      <c r="I152" s="58"/>
    </row>
    <row r="153" spans="8:9">
      <c r="H153" s="58"/>
      <c r="I153" s="58"/>
    </row>
    <row r="154" spans="8:9">
      <c r="H154" s="58"/>
      <c r="I154" s="58"/>
    </row>
    <row r="155" spans="8:9">
      <c r="H155" s="58"/>
      <c r="I155" s="58"/>
    </row>
    <row r="156" spans="8:9">
      <c r="H156" s="58"/>
      <c r="I156" s="58"/>
    </row>
    <row r="157" spans="8:9">
      <c r="H157" s="58"/>
      <c r="I157" s="58"/>
    </row>
    <row r="158" spans="8:9">
      <c r="H158" s="58"/>
      <c r="I158" s="58"/>
    </row>
    <row r="159" spans="8:9">
      <c r="H159" s="58"/>
      <c r="I159" s="58"/>
    </row>
    <row r="160" spans="8:9">
      <c r="H160" s="58"/>
      <c r="I160" s="58"/>
    </row>
    <row r="161" spans="8:9">
      <c r="H161" s="58"/>
      <c r="I161" s="58"/>
    </row>
    <row r="162" spans="8:9">
      <c r="H162" s="58"/>
      <c r="I162" s="58"/>
    </row>
    <row r="163" spans="8:9">
      <c r="H163" s="58"/>
      <c r="I163" s="58"/>
    </row>
    <row r="164" spans="8:9">
      <c r="H164" s="58"/>
      <c r="I164" s="58"/>
    </row>
    <row r="165" spans="8:9">
      <c r="H165" s="58"/>
      <c r="I165" s="58"/>
    </row>
    <row r="166" spans="8:9">
      <c r="H166" s="58"/>
      <c r="I166" s="58"/>
    </row>
    <row r="167" spans="8:9">
      <c r="H167" s="58"/>
      <c r="I167" s="58"/>
    </row>
    <row r="168" spans="8:9">
      <c r="H168" s="58"/>
      <c r="I168" s="58"/>
    </row>
    <row r="169" spans="8:9">
      <c r="H169" s="58"/>
      <c r="I169" s="58"/>
    </row>
    <row r="170" spans="8:9">
      <c r="H170" s="58"/>
      <c r="I170" s="58"/>
    </row>
    <row r="171" spans="8:9">
      <c r="H171" s="58"/>
      <c r="I171" s="58"/>
    </row>
    <row r="172" spans="8:9">
      <c r="H172" s="58"/>
      <c r="I172" s="58"/>
    </row>
    <row r="173" spans="8:9">
      <c r="H173" s="58"/>
      <c r="I173" s="58"/>
    </row>
    <row r="174" spans="8:9">
      <c r="H174" s="58"/>
      <c r="I174" s="58"/>
    </row>
    <row r="175" spans="8:9">
      <c r="H175" s="58"/>
      <c r="I175" s="58"/>
    </row>
    <row r="176" spans="8:9">
      <c r="H176" s="58"/>
      <c r="I176" s="58"/>
    </row>
    <row r="177" spans="8:9">
      <c r="H177" s="58"/>
      <c r="I177" s="58"/>
    </row>
    <row r="178" spans="8:9">
      <c r="H178" s="58"/>
      <c r="I178" s="58"/>
    </row>
    <row r="179" spans="8:9">
      <c r="H179" s="58"/>
      <c r="I179" s="58"/>
    </row>
    <row r="180" spans="8:9">
      <c r="H180" s="58"/>
      <c r="I180" s="58"/>
    </row>
    <row r="181" spans="8:9">
      <c r="H181" s="58"/>
      <c r="I181" s="58"/>
    </row>
    <row r="182" spans="8:9">
      <c r="H182" s="58"/>
      <c r="I182" s="58"/>
    </row>
    <row r="183" spans="8:9">
      <c r="H183" s="58"/>
      <c r="I183" s="58"/>
    </row>
    <row r="184" spans="8:9">
      <c r="H184" s="58"/>
      <c r="I184" s="58"/>
    </row>
    <row r="185" spans="8:9">
      <c r="H185" s="58"/>
      <c r="I185" s="58"/>
    </row>
    <row r="186" spans="8:9">
      <c r="H186" s="58"/>
      <c r="I186" s="58"/>
    </row>
    <row r="187" spans="8:9">
      <c r="H187" s="58"/>
      <c r="I187" s="58"/>
    </row>
    <row r="188" spans="8:9">
      <c r="H188" s="58"/>
      <c r="I188" s="58"/>
    </row>
    <row r="189" spans="8:9">
      <c r="H189" s="58"/>
      <c r="I189" s="58"/>
    </row>
    <row r="190" spans="8:9">
      <c r="H190" s="58"/>
      <c r="I190" s="58"/>
    </row>
    <row r="191" spans="8:9">
      <c r="H191" s="58"/>
      <c r="I191" s="58"/>
    </row>
    <row r="192" spans="8:9">
      <c r="H192" s="58"/>
      <c r="I192" s="58"/>
    </row>
    <row r="193" spans="8:9">
      <c r="H193" s="58"/>
      <c r="I193" s="58"/>
    </row>
    <row r="194" spans="8:9">
      <c r="H194" s="58"/>
      <c r="I194" s="58"/>
    </row>
    <row r="195" spans="8:9">
      <c r="H195" s="58"/>
      <c r="I195" s="58"/>
    </row>
    <row r="196" spans="8:9">
      <c r="H196" s="58"/>
      <c r="I196" s="58"/>
    </row>
    <row r="197" spans="8:9">
      <c r="H197" s="58"/>
      <c r="I197" s="58"/>
    </row>
    <row r="198" spans="8:9">
      <c r="H198" s="58"/>
      <c r="I198" s="58"/>
    </row>
  </sheetData>
  <mergeCells count="79">
    <mergeCell ref="F42:G42"/>
    <mergeCell ref="H42:I42"/>
    <mergeCell ref="D69:E69"/>
    <mergeCell ref="F69:G69"/>
    <mergeCell ref="H69:I69"/>
    <mergeCell ref="F65:G65"/>
    <mergeCell ref="H65:I65"/>
    <mergeCell ref="D67:E67"/>
    <mergeCell ref="F67:G67"/>
    <mergeCell ref="H67:I67"/>
    <mergeCell ref="D66:E66"/>
    <mergeCell ref="F66:G66"/>
    <mergeCell ref="H66:I66"/>
    <mergeCell ref="D68:E68"/>
    <mergeCell ref="F68:G68"/>
    <mergeCell ref="H68:I68"/>
    <mergeCell ref="H64:I64"/>
    <mergeCell ref="H60:I60"/>
    <mergeCell ref="D61:E61"/>
    <mergeCell ref="D62:E62"/>
    <mergeCell ref="F62:G62"/>
    <mergeCell ref="H62:I62"/>
    <mergeCell ref="D63:E63"/>
    <mergeCell ref="F63:G63"/>
    <mergeCell ref="H63:I63"/>
    <mergeCell ref="F61:G61"/>
    <mergeCell ref="D60:E60"/>
    <mergeCell ref="F60:G60"/>
    <mergeCell ref="D64:E64"/>
    <mergeCell ref="F64:G64"/>
    <mergeCell ref="F58:G58"/>
    <mergeCell ref="H56:I56"/>
    <mergeCell ref="D57:E57"/>
    <mergeCell ref="F57:G57"/>
    <mergeCell ref="H57:I57"/>
    <mergeCell ref="H58:I58"/>
    <mergeCell ref="D58:E58"/>
    <mergeCell ref="C25:I25"/>
    <mergeCell ref="H30:I30"/>
    <mergeCell ref="F30:G30"/>
    <mergeCell ref="D53:E53"/>
    <mergeCell ref="F53:G53"/>
    <mergeCell ref="H53:I53"/>
    <mergeCell ref="C36:I36"/>
    <mergeCell ref="C43:I43"/>
    <mergeCell ref="C49:I49"/>
    <mergeCell ref="D50:E50"/>
    <mergeCell ref="F50:G50"/>
    <mergeCell ref="H50:I50"/>
    <mergeCell ref="D51:E51"/>
    <mergeCell ref="F51:G51"/>
    <mergeCell ref="H51:I51"/>
    <mergeCell ref="D52:E52"/>
    <mergeCell ref="C8:I8"/>
    <mergeCell ref="C18:I18"/>
    <mergeCell ref="D24:E24"/>
    <mergeCell ref="F24:G24"/>
    <mergeCell ref="H24:I24"/>
    <mergeCell ref="C2:I3"/>
    <mergeCell ref="C6:C7"/>
    <mergeCell ref="D6:E6"/>
    <mergeCell ref="F6:G6"/>
    <mergeCell ref="H6:I6"/>
    <mergeCell ref="F59:G59"/>
    <mergeCell ref="H59:I59"/>
    <mergeCell ref="D59:E59"/>
    <mergeCell ref="H41:I41"/>
    <mergeCell ref="C31:I31"/>
    <mergeCell ref="H52:I52"/>
    <mergeCell ref="C45:I45"/>
    <mergeCell ref="F41:G41"/>
    <mergeCell ref="D54:E54"/>
    <mergeCell ref="F54:G54"/>
    <mergeCell ref="H54:I54"/>
    <mergeCell ref="D55:E55"/>
    <mergeCell ref="F55:G55"/>
    <mergeCell ref="H55:I55"/>
    <mergeCell ref="D56:E56"/>
    <mergeCell ref="F56:G56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scale="56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96"/>
  <sheetViews>
    <sheetView zoomScale="80" zoomScaleNormal="80" workbookViewId="0">
      <selection activeCell="D2" sqref="D2:F93"/>
    </sheetView>
  </sheetViews>
  <sheetFormatPr baseColWidth="10" defaultColWidth="11.453125" defaultRowHeight="15.5"/>
  <cols>
    <col min="1" max="1" width="11.453125" style="59" customWidth="1"/>
    <col min="2" max="2" width="3" style="59" customWidth="1"/>
    <col min="3" max="3" width="1.90625" style="59" customWidth="1"/>
    <col min="4" max="4" width="103.90625" style="259" customWidth="1"/>
    <col min="5" max="5" width="18.54296875" style="260" bestFit="1" customWidth="1"/>
    <col min="6" max="6" width="18.7265625" style="260" customWidth="1"/>
    <col min="7" max="7" width="1.36328125" style="59" customWidth="1"/>
    <col min="8" max="8" width="3.08984375" style="59" customWidth="1"/>
    <col min="9" max="16384" width="11.453125" style="59"/>
  </cols>
  <sheetData>
    <row r="1" spans="2:8">
      <c r="B1" s="250"/>
      <c r="C1" s="250"/>
      <c r="D1" s="256"/>
      <c r="E1" s="257"/>
      <c r="F1" s="257"/>
      <c r="G1" s="250"/>
      <c r="H1" s="250"/>
    </row>
    <row r="2" spans="2:8" ht="14.5">
      <c r="B2" s="250"/>
      <c r="D2" s="380" t="s">
        <v>109</v>
      </c>
      <c r="E2" s="380"/>
      <c r="F2" s="380"/>
      <c r="H2" s="250"/>
    </row>
    <row r="3" spans="2:8" ht="17.5" customHeight="1" thickBot="1">
      <c r="B3" s="250"/>
      <c r="D3" s="380"/>
      <c r="E3" s="380"/>
      <c r="F3" s="380"/>
      <c r="H3" s="250"/>
    </row>
    <row r="4" spans="2:8" ht="16" thickBot="1">
      <c r="B4" s="250"/>
      <c r="D4" s="269" t="s">
        <v>29</v>
      </c>
      <c r="E4" s="275" t="s">
        <v>32</v>
      </c>
      <c r="F4" s="275" t="s">
        <v>33</v>
      </c>
      <c r="H4" s="250"/>
    </row>
    <row r="5" spans="2:8" s="60" customFormat="1">
      <c r="B5" s="250"/>
      <c r="D5" s="276" t="s">
        <v>65</v>
      </c>
      <c r="E5" s="381">
        <f>'CA Procesos'!F50</f>
        <v>46388</v>
      </c>
      <c r="F5" s="382"/>
      <c r="H5" s="250"/>
    </row>
    <row r="6" spans="2:8">
      <c r="B6" s="250"/>
      <c r="D6" s="277" t="s">
        <v>48</v>
      </c>
      <c r="E6" s="271">
        <f>'CA Procesos'!D26</f>
        <v>46384</v>
      </c>
      <c r="F6" s="278">
        <f>'CA Procesos'!E26</f>
        <v>46386</v>
      </c>
      <c r="H6" s="250"/>
    </row>
    <row r="7" spans="2:8">
      <c r="B7" s="250"/>
      <c r="D7" s="279" t="s">
        <v>49</v>
      </c>
      <c r="E7" s="272">
        <f>'CA Procesos'!D27</f>
        <v>46387</v>
      </c>
      <c r="F7" s="280">
        <f>'CA Procesos'!E27</f>
        <v>46390</v>
      </c>
      <c r="H7" s="250"/>
    </row>
    <row r="8" spans="2:8">
      <c r="B8" s="250"/>
      <c r="D8" s="279" t="s">
        <v>50</v>
      </c>
      <c r="E8" s="272">
        <f>'CA Procesos'!D28</f>
        <v>46387</v>
      </c>
      <c r="F8" s="280">
        <f>'CA Procesos'!E28</f>
        <v>46393</v>
      </c>
      <c r="H8" s="250"/>
    </row>
    <row r="9" spans="2:8">
      <c r="B9" s="250"/>
      <c r="D9" s="277" t="s">
        <v>82</v>
      </c>
      <c r="E9" s="271">
        <f>'CA Procesos'!D23</f>
        <v>46391</v>
      </c>
      <c r="F9" s="278">
        <f>'CA Procesos'!E23</f>
        <v>46423</v>
      </c>
      <c r="H9" s="250"/>
    </row>
    <row r="10" spans="2:8" ht="16" thickBot="1">
      <c r="B10" s="250"/>
      <c r="D10" s="279" t="s">
        <v>47</v>
      </c>
      <c r="E10" s="383">
        <f>'CA Procesos'!D24</f>
        <v>46426</v>
      </c>
      <c r="F10" s="384"/>
      <c r="H10" s="250"/>
    </row>
    <row r="11" spans="2:8" ht="5" hidden="1" customHeight="1" thickBot="1">
      <c r="B11" s="250"/>
      <c r="D11" s="266"/>
      <c r="E11" s="267"/>
      <c r="F11" s="268"/>
      <c r="H11" s="250"/>
    </row>
    <row r="12" spans="2:8" ht="18" thickBot="1">
      <c r="B12" s="250"/>
      <c r="D12" s="269" t="s">
        <v>115</v>
      </c>
      <c r="E12" s="275" t="s">
        <v>32</v>
      </c>
      <c r="F12" s="275" t="s">
        <v>33</v>
      </c>
      <c r="H12" s="250"/>
    </row>
    <row r="13" spans="2:8">
      <c r="B13" s="250"/>
      <c r="D13" s="281" t="s">
        <v>35</v>
      </c>
      <c r="E13" s="274">
        <f>'CA Procesos'!F9</f>
        <v>46302</v>
      </c>
      <c r="F13" s="422">
        <f>'CA Procesos'!G9</f>
        <v>46454</v>
      </c>
      <c r="H13" s="250"/>
    </row>
    <row r="14" spans="2:8">
      <c r="B14" s="250"/>
      <c r="D14" s="277" t="s">
        <v>37</v>
      </c>
      <c r="E14" s="271">
        <f>'CA Procesos'!F10</f>
        <v>46328</v>
      </c>
      <c r="F14" s="423">
        <f>'CA Procesos'!G10</f>
        <v>46445</v>
      </c>
      <c r="H14" s="250"/>
    </row>
    <row r="15" spans="2:8">
      <c r="B15" s="250"/>
      <c r="D15" s="279" t="s">
        <v>38</v>
      </c>
      <c r="E15" s="272">
        <f>'CA Procesos'!F11</f>
        <v>46328</v>
      </c>
      <c r="F15" s="421">
        <f>'CA Procesos'!G11</f>
        <v>46454</v>
      </c>
      <c r="H15" s="250"/>
    </row>
    <row r="16" spans="2:8">
      <c r="B16" s="250"/>
      <c r="D16" s="279" t="s">
        <v>108</v>
      </c>
      <c r="E16" s="273">
        <f>'CA Procesos'!F13</f>
        <v>46328</v>
      </c>
      <c r="F16" s="424">
        <f>'CA Procesos'!G13</f>
        <v>46452</v>
      </c>
      <c r="H16" s="250"/>
    </row>
    <row r="17" spans="2:8">
      <c r="B17" s="250"/>
      <c r="D17" s="284" t="s">
        <v>39</v>
      </c>
      <c r="E17" s="272">
        <f>'CA Procesos'!F15</f>
        <v>46328</v>
      </c>
      <c r="F17" s="424">
        <f>'CA Procesos'!G15</f>
        <v>46454</v>
      </c>
      <c r="H17" s="250"/>
    </row>
    <row r="18" spans="2:8">
      <c r="B18" s="250"/>
      <c r="D18" s="277" t="s">
        <v>40</v>
      </c>
      <c r="E18" s="271">
        <f>'CA Procesos'!F16</f>
        <v>46357</v>
      </c>
      <c r="F18" s="423">
        <f>'CA Procesos'!G16</f>
        <v>46396</v>
      </c>
      <c r="H18" s="250"/>
    </row>
    <row r="19" spans="2:8">
      <c r="B19" s="250"/>
      <c r="D19" s="279" t="s">
        <v>114</v>
      </c>
      <c r="E19" s="272">
        <f>'CA Procesos'!F19</f>
        <v>46314</v>
      </c>
      <c r="F19" s="421">
        <f>'CA Procesos'!G19</f>
        <v>46444</v>
      </c>
      <c r="H19" s="250"/>
    </row>
    <row r="20" spans="2:8">
      <c r="B20" s="250"/>
      <c r="D20" s="279" t="s">
        <v>59</v>
      </c>
      <c r="E20" s="272">
        <f>'CA Procesos'!F38</f>
        <v>46380</v>
      </c>
      <c r="F20" s="421">
        <f>'CA Procesos'!G38</f>
        <v>46468</v>
      </c>
      <c r="H20" s="250"/>
    </row>
    <row r="21" spans="2:8">
      <c r="B21" s="250"/>
      <c r="D21" s="279" t="s">
        <v>83</v>
      </c>
      <c r="E21" s="272">
        <f>'CA Procesos'!F37</f>
        <v>46380</v>
      </c>
      <c r="F21" s="421">
        <f>'CA Procesos'!G37</f>
        <v>46452</v>
      </c>
      <c r="H21" s="250"/>
    </row>
    <row r="22" spans="2:8">
      <c r="B22" s="250"/>
      <c r="D22" s="279" t="s">
        <v>116</v>
      </c>
      <c r="E22" s="273">
        <f>'CA Procesos'!F12</f>
        <v>46384</v>
      </c>
      <c r="F22" s="424">
        <f>'CA Procesos'!G12</f>
        <v>46452</v>
      </c>
      <c r="H22" s="250"/>
    </row>
    <row r="23" spans="2:8">
      <c r="B23" s="250"/>
      <c r="D23" s="284" t="s">
        <v>117</v>
      </c>
      <c r="E23" s="272">
        <f>'CA Procesos'!F14</f>
        <v>46384</v>
      </c>
      <c r="F23" s="424">
        <f>'CA Procesos'!G14</f>
        <v>46454</v>
      </c>
      <c r="H23" s="250"/>
    </row>
    <row r="24" spans="2:8">
      <c r="B24" s="250"/>
      <c r="D24" s="279" t="s">
        <v>63</v>
      </c>
      <c r="E24" s="272">
        <f>'CA Procesos'!F44</f>
        <v>46391</v>
      </c>
      <c r="F24" s="421">
        <f>'CA Procesos'!G44</f>
        <v>46397</v>
      </c>
      <c r="H24" s="250"/>
    </row>
    <row r="25" spans="2:8">
      <c r="B25" s="250"/>
      <c r="D25" s="279" t="s">
        <v>41</v>
      </c>
      <c r="E25" s="272">
        <f>'CA Procesos'!F17</f>
        <v>46398</v>
      </c>
      <c r="F25" s="424">
        <f>'CA Procesos'!G17</f>
        <v>46454</v>
      </c>
      <c r="H25" s="250"/>
    </row>
    <row r="26" spans="2:8">
      <c r="B26" s="250"/>
      <c r="D26" s="277" t="s">
        <v>48</v>
      </c>
      <c r="E26" s="271">
        <f>'CA Procesos'!F26</f>
        <v>46398</v>
      </c>
      <c r="F26" s="423">
        <f>'CA Procesos'!G26</f>
        <v>46401</v>
      </c>
      <c r="H26" s="250"/>
    </row>
    <row r="27" spans="2:8">
      <c r="B27" s="250"/>
      <c r="D27" s="279" t="s">
        <v>49</v>
      </c>
      <c r="E27" s="272">
        <f>'CA Procesos'!F27</f>
        <v>46402</v>
      </c>
      <c r="F27" s="421">
        <f>'CA Procesos'!G27</f>
        <v>46452</v>
      </c>
      <c r="H27" s="250"/>
    </row>
    <row r="28" spans="2:8">
      <c r="B28" s="250"/>
      <c r="D28" s="279" t="s">
        <v>50</v>
      </c>
      <c r="E28" s="272">
        <f>'CA Procesos'!F28</f>
        <v>46402</v>
      </c>
      <c r="F28" s="421">
        <f>'CA Procesos'!G28</f>
        <v>46454</v>
      </c>
      <c r="H28" s="250"/>
    </row>
    <row r="29" spans="2:8">
      <c r="B29" s="250"/>
      <c r="D29" s="279" t="s">
        <v>51</v>
      </c>
      <c r="E29" s="272">
        <f>'CA Procesos'!F29</f>
        <v>46402</v>
      </c>
      <c r="F29" s="421">
        <f>'CA Procesos'!G29</f>
        <v>46456</v>
      </c>
      <c r="H29" s="250"/>
    </row>
    <row r="30" spans="2:8">
      <c r="B30" s="250"/>
      <c r="D30" s="279" t="s">
        <v>43</v>
      </c>
      <c r="E30" s="272">
        <f>'CA Procesos'!F20</f>
        <v>46447</v>
      </c>
      <c r="F30" s="280">
        <f>'CA Procesos'!G20</f>
        <v>46452</v>
      </c>
      <c r="H30" s="250"/>
    </row>
    <row r="31" spans="2:8">
      <c r="B31" s="250"/>
      <c r="D31" s="279" t="s">
        <v>44</v>
      </c>
      <c r="E31" s="272">
        <f>'CA Procesos'!F21</f>
        <v>46447</v>
      </c>
      <c r="F31" s="280">
        <f>'CA Procesos'!G21</f>
        <v>46452</v>
      </c>
      <c r="H31" s="250"/>
    </row>
    <row r="32" spans="2:8">
      <c r="B32" s="250"/>
      <c r="D32" s="277" t="s">
        <v>45</v>
      </c>
      <c r="E32" s="271">
        <f>'CA Procesos'!F22</f>
        <v>46454</v>
      </c>
      <c r="F32" s="278">
        <f>'CA Procesos'!G22</f>
        <v>46588</v>
      </c>
      <c r="H32" s="250"/>
    </row>
    <row r="33" spans="2:8">
      <c r="B33" s="250"/>
      <c r="D33" s="279" t="s">
        <v>53</v>
      </c>
      <c r="E33" s="272">
        <f>'CA Procesos'!F32</f>
        <v>46454</v>
      </c>
      <c r="F33" s="280">
        <f>'CA Procesos'!G32</f>
        <v>46466</v>
      </c>
      <c r="H33" s="250"/>
    </row>
    <row r="34" spans="2:8">
      <c r="B34" s="250"/>
      <c r="D34" s="279" t="s">
        <v>84</v>
      </c>
      <c r="E34" s="272">
        <f>'CA Procesos'!F39</f>
        <v>46454</v>
      </c>
      <c r="F34" s="280">
        <f>'CA Procesos'!G39</f>
        <v>46487</v>
      </c>
      <c r="H34" s="250"/>
    </row>
    <row r="35" spans="2:8">
      <c r="B35" s="250"/>
      <c r="D35" s="279" t="s">
        <v>54</v>
      </c>
      <c r="E35" s="272">
        <f>'CA Procesos'!F33</f>
        <v>46475</v>
      </c>
      <c r="F35" s="280">
        <f>'CA Procesos'!G33</f>
        <v>46480</v>
      </c>
      <c r="H35" s="250"/>
    </row>
    <row r="36" spans="2:8" s="60" customFormat="1">
      <c r="B36" s="250"/>
      <c r="D36" s="285" t="s">
        <v>85</v>
      </c>
      <c r="E36" s="378">
        <f>'CA Procesos'!F51</f>
        <v>46471</v>
      </c>
      <c r="F36" s="379"/>
      <c r="G36" s="59"/>
      <c r="H36" s="250"/>
    </row>
    <row r="37" spans="2:8" s="60" customFormat="1">
      <c r="B37" s="250"/>
      <c r="D37" s="285" t="s">
        <v>67</v>
      </c>
      <c r="E37" s="270">
        <f>'CA Procesos'!F52</f>
        <v>46472</v>
      </c>
      <c r="F37" s="286">
        <f>'CA Procesos'!G52</f>
        <v>46473</v>
      </c>
      <c r="G37" s="59"/>
      <c r="H37" s="250"/>
    </row>
    <row r="38" spans="2:8" s="60" customFormat="1">
      <c r="B38" s="250"/>
      <c r="D38" s="279" t="s">
        <v>121</v>
      </c>
      <c r="E38" s="420">
        <f>'CA Procesos'!F46</f>
        <v>46482</v>
      </c>
      <c r="F38" s="421">
        <f>'CA Procesos'!G46</f>
        <v>46487</v>
      </c>
      <c r="G38" s="59"/>
      <c r="H38" s="250"/>
    </row>
    <row r="39" spans="2:8" s="60" customFormat="1">
      <c r="B39" s="250"/>
      <c r="D39" s="279" t="s">
        <v>112</v>
      </c>
      <c r="E39" s="273">
        <f>'CA Procesos'!F47</f>
        <v>46491</v>
      </c>
      <c r="F39" s="283">
        <f>'CA Procesos'!G47</f>
        <v>46494</v>
      </c>
      <c r="G39" s="59"/>
      <c r="H39" s="250"/>
    </row>
    <row r="40" spans="2:8" s="60" customFormat="1">
      <c r="B40" s="250"/>
      <c r="D40" s="279" t="s">
        <v>99</v>
      </c>
      <c r="E40" s="273">
        <f>'CA Procesos'!F48</f>
        <v>46503</v>
      </c>
      <c r="F40" s="283">
        <f>'CA Procesos'!G48</f>
        <v>46508</v>
      </c>
      <c r="G40" s="59"/>
      <c r="H40" s="250"/>
    </row>
    <row r="41" spans="2:8" s="60" customFormat="1">
      <c r="B41" s="250"/>
      <c r="D41" s="285" t="s">
        <v>86</v>
      </c>
      <c r="E41" s="378">
        <f>'CA Procesos'!F53</f>
        <v>46508</v>
      </c>
      <c r="F41" s="379"/>
      <c r="H41" s="250"/>
    </row>
    <row r="42" spans="2:8" s="60" customFormat="1">
      <c r="B42" s="250"/>
      <c r="D42" s="285" t="s">
        <v>69</v>
      </c>
      <c r="E42" s="378">
        <f>'CA Procesos'!F54</f>
        <v>46528</v>
      </c>
      <c r="F42" s="379"/>
      <c r="H42" s="250"/>
    </row>
    <row r="43" spans="2:8">
      <c r="B43" s="250"/>
      <c r="D43" s="279" t="s">
        <v>55</v>
      </c>
      <c r="E43" s="272">
        <f>'CA Procesos'!F34</f>
        <v>46531</v>
      </c>
      <c r="F43" s="280">
        <f>'CA Procesos'!G34</f>
        <v>46550</v>
      </c>
      <c r="H43" s="250"/>
    </row>
    <row r="44" spans="2:8">
      <c r="B44" s="250"/>
      <c r="D44" s="279" t="s">
        <v>61</v>
      </c>
      <c r="E44" s="272">
        <f>'CA Procesos'!F40</f>
        <v>46545</v>
      </c>
      <c r="F44" s="280">
        <f>'CA Procesos'!G40</f>
        <v>46588</v>
      </c>
      <c r="H44" s="250"/>
    </row>
    <row r="45" spans="2:8" s="60" customFormat="1">
      <c r="B45" s="250"/>
      <c r="D45" s="285" t="s">
        <v>70</v>
      </c>
      <c r="E45" s="378">
        <f>'CA Procesos'!F55</f>
        <v>46559</v>
      </c>
      <c r="F45" s="379"/>
      <c r="H45" s="250"/>
    </row>
    <row r="46" spans="2:8">
      <c r="B46" s="250"/>
      <c r="D46" s="287" t="s">
        <v>102</v>
      </c>
      <c r="E46" s="385">
        <f>'CA Procesos'!F41</f>
        <v>46571</v>
      </c>
      <c r="F46" s="386"/>
      <c r="H46" s="250"/>
    </row>
    <row r="47" spans="2:8" s="60" customFormat="1">
      <c r="B47" s="250"/>
      <c r="D47" s="285" t="s">
        <v>71</v>
      </c>
      <c r="E47" s="378">
        <f>'CA Procesos'!F56</f>
        <v>46566</v>
      </c>
      <c r="F47" s="379"/>
      <c r="H47" s="250"/>
    </row>
    <row r="48" spans="2:8" s="60" customFormat="1">
      <c r="B48" s="250"/>
      <c r="D48" s="287" t="s">
        <v>104</v>
      </c>
      <c r="E48" s="385">
        <f>'CA Procesos'!F42</f>
        <v>46571</v>
      </c>
      <c r="F48" s="386"/>
      <c r="H48" s="250"/>
    </row>
    <row r="49" spans="2:8">
      <c r="B49" s="250"/>
      <c r="D49" s="279" t="s">
        <v>56</v>
      </c>
      <c r="E49" s="272">
        <f>'CA Procesos'!F35</f>
        <v>46573</v>
      </c>
      <c r="F49" s="280">
        <f>'CA Procesos'!G35</f>
        <v>46588</v>
      </c>
      <c r="H49" s="250"/>
    </row>
    <row r="50" spans="2:8">
      <c r="B50" s="250"/>
      <c r="D50" s="285" t="s">
        <v>72</v>
      </c>
      <c r="E50" s="378">
        <f>'CA Procesos'!F57</f>
        <v>46584</v>
      </c>
      <c r="F50" s="379"/>
      <c r="H50" s="250"/>
    </row>
    <row r="51" spans="2:8">
      <c r="B51" s="250"/>
      <c r="D51" s="287" t="s">
        <v>110</v>
      </c>
      <c r="E51" s="385">
        <f>'CA Procesos'!H30</f>
        <v>46585</v>
      </c>
      <c r="F51" s="386"/>
      <c r="H51" s="250"/>
    </row>
    <row r="52" spans="2:8" ht="16" thickBot="1">
      <c r="B52" s="250"/>
      <c r="D52" s="277" t="s">
        <v>47</v>
      </c>
      <c r="E52" s="387">
        <f>'CA Procesos'!F24</f>
        <v>46589</v>
      </c>
      <c r="F52" s="388"/>
      <c r="H52" s="250"/>
    </row>
    <row r="53" spans="2:8" ht="10" hidden="1" customHeight="1" thickBot="1">
      <c r="B53" s="250"/>
      <c r="D53" s="266"/>
      <c r="E53" s="267"/>
      <c r="F53" s="268"/>
      <c r="H53" s="250"/>
    </row>
    <row r="54" spans="2:8" ht="18" thickBot="1">
      <c r="B54" s="250"/>
      <c r="D54" s="269" t="s">
        <v>111</v>
      </c>
      <c r="E54" s="275" t="s">
        <v>32</v>
      </c>
      <c r="F54" s="275" t="s">
        <v>33</v>
      </c>
      <c r="H54" s="250"/>
    </row>
    <row r="55" spans="2:8">
      <c r="B55" s="250"/>
      <c r="D55" s="281" t="s">
        <v>37</v>
      </c>
      <c r="E55" s="274">
        <f>'CA Procesos'!H10</f>
        <v>46510</v>
      </c>
      <c r="F55" s="282">
        <f>'CA Procesos'!I10</f>
        <v>46599</v>
      </c>
      <c r="H55" s="250"/>
    </row>
    <row r="56" spans="2:8">
      <c r="B56" s="250"/>
      <c r="D56" s="279" t="s">
        <v>87</v>
      </c>
      <c r="E56" s="272">
        <f>'CA Procesos'!H11</f>
        <v>46510</v>
      </c>
      <c r="F56" s="280">
        <f>'CA Procesos'!I11</f>
        <v>46608</v>
      </c>
      <c r="H56" s="250"/>
    </row>
    <row r="57" spans="2:8">
      <c r="B57" s="250"/>
      <c r="D57" s="288" t="s">
        <v>108</v>
      </c>
      <c r="E57" s="272">
        <f>'CA Procesos'!H13</f>
        <v>46545</v>
      </c>
      <c r="F57" s="280">
        <f>'CA Procesos'!I13</f>
        <v>46606</v>
      </c>
      <c r="H57" s="250"/>
    </row>
    <row r="58" spans="2:8">
      <c r="B58" s="250"/>
      <c r="D58" s="284" t="s">
        <v>39</v>
      </c>
      <c r="E58" s="272">
        <f>'CA Procesos'!H15</f>
        <v>46545</v>
      </c>
      <c r="F58" s="280">
        <f>'CA Procesos'!I15</f>
        <v>46608</v>
      </c>
      <c r="H58" s="250"/>
    </row>
    <row r="59" spans="2:8">
      <c r="B59" s="250"/>
      <c r="D59" s="277" t="s">
        <v>40</v>
      </c>
      <c r="E59" s="271">
        <f>'CA Procesos'!H16</f>
        <v>46569</v>
      </c>
      <c r="F59" s="278">
        <f>'CA Procesos'!I16</f>
        <v>46592</v>
      </c>
      <c r="H59" s="250"/>
    </row>
    <row r="60" spans="2:8">
      <c r="B60" s="250"/>
      <c r="D60" s="279" t="s">
        <v>63</v>
      </c>
      <c r="E60" s="272">
        <f>'CA Procesos'!H44</f>
        <v>46589</v>
      </c>
      <c r="F60" s="280">
        <f>'CA Procesos'!I44</f>
        <v>46595</v>
      </c>
      <c r="H60" s="250"/>
    </row>
    <row r="61" spans="2:8">
      <c r="B61" s="250"/>
      <c r="D61" s="279" t="s">
        <v>83</v>
      </c>
      <c r="E61" s="272">
        <f>'CA Procesos'!H37</f>
        <v>46590</v>
      </c>
      <c r="F61" s="280">
        <f>'CA Procesos'!I37</f>
        <v>46606</v>
      </c>
      <c r="H61" s="250"/>
    </row>
    <row r="62" spans="2:8">
      <c r="B62" s="250"/>
      <c r="D62" s="279" t="s">
        <v>59</v>
      </c>
      <c r="E62" s="272">
        <f>'CA Procesos'!H38</f>
        <v>46591</v>
      </c>
      <c r="F62" s="280">
        <f>'CA Procesos'!I38</f>
        <v>46622</v>
      </c>
      <c r="H62" s="250"/>
    </row>
    <row r="63" spans="2:8">
      <c r="B63" s="250"/>
      <c r="D63" s="288" t="s">
        <v>116</v>
      </c>
      <c r="E63" s="272">
        <f>'CA Procesos'!H12</f>
        <v>46594</v>
      </c>
      <c r="F63" s="280">
        <f>'CA Procesos'!I12</f>
        <v>46606</v>
      </c>
      <c r="H63" s="250"/>
    </row>
    <row r="64" spans="2:8">
      <c r="B64" s="250"/>
      <c r="D64" s="279" t="s">
        <v>117</v>
      </c>
      <c r="E64" s="272">
        <f>'CA Procesos'!H14</f>
        <v>46594</v>
      </c>
      <c r="F64" s="280">
        <f>'CA Procesos'!I14</f>
        <v>46608</v>
      </c>
      <c r="H64" s="250"/>
    </row>
    <row r="65" spans="2:8">
      <c r="B65" s="250"/>
      <c r="D65" s="279" t="s">
        <v>41</v>
      </c>
      <c r="E65" s="272">
        <f>'CA Procesos'!H17</f>
        <v>46594</v>
      </c>
      <c r="F65" s="280">
        <f>'CA Procesos'!I17</f>
        <v>46608</v>
      </c>
      <c r="H65" s="250"/>
    </row>
    <row r="66" spans="2:8">
      <c r="B66" s="250"/>
      <c r="D66" s="277" t="s">
        <v>48</v>
      </c>
      <c r="E66" s="271">
        <f>'CA Procesos'!H26</f>
        <v>46594</v>
      </c>
      <c r="F66" s="278">
        <f>'CA Procesos'!I26</f>
        <v>46597</v>
      </c>
      <c r="H66" s="250"/>
    </row>
    <row r="67" spans="2:8">
      <c r="B67" s="250"/>
      <c r="D67" s="279" t="s">
        <v>49</v>
      </c>
      <c r="E67" s="272">
        <f>'CA Procesos'!H27</f>
        <v>46598</v>
      </c>
      <c r="F67" s="280">
        <f>'CA Procesos'!I27</f>
        <v>46606</v>
      </c>
      <c r="H67" s="250"/>
    </row>
    <row r="68" spans="2:8">
      <c r="B68" s="250"/>
      <c r="D68" s="279" t="s">
        <v>50</v>
      </c>
      <c r="E68" s="272">
        <f>'CA Procesos'!H28</f>
        <v>46598</v>
      </c>
      <c r="F68" s="280">
        <f>'CA Procesos'!I28</f>
        <v>46608</v>
      </c>
      <c r="H68" s="250"/>
    </row>
    <row r="69" spans="2:8">
      <c r="B69" s="250"/>
      <c r="D69" s="279" t="s">
        <v>51</v>
      </c>
      <c r="E69" s="272">
        <f>'CA Procesos'!H29</f>
        <v>46598</v>
      </c>
      <c r="F69" s="280">
        <f>'CA Procesos'!I29</f>
        <v>46610</v>
      </c>
      <c r="H69" s="250"/>
    </row>
    <row r="70" spans="2:8">
      <c r="B70" s="250"/>
      <c r="D70" s="279" t="s">
        <v>44</v>
      </c>
      <c r="E70" s="272">
        <f>'CA Procesos'!H21</f>
        <v>46601</v>
      </c>
      <c r="F70" s="280">
        <f>'CA Procesos'!I21</f>
        <v>46606</v>
      </c>
      <c r="H70" s="250"/>
    </row>
    <row r="71" spans="2:8">
      <c r="B71" s="250"/>
      <c r="D71" s="277" t="s">
        <v>45</v>
      </c>
      <c r="E71" s="271">
        <f>'CA Procesos'!H22</f>
        <v>46608</v>
      </c>
      <c r="F71" s="278">
        <f>'CA Procesos'!I22</f>
        <v>46742</v>
      </c>
      <c r="H71" s="250"/>
    </row>
    <row r="72" spans="2:8">
      <c r="B72" s="250"/>
      <c r="D72" s="279" t="s">
        <v>84</v>
      </c>
      <c r="E72" s="272">
        <f>'CA Procesos'!H39</f>
        <v>46608</v>
      </c>
      <c r="F72" s="280">
        <f>'CA Procesos'!I39</f>
        <v>46641</v>
      </c>
      <c r="H72" s="250"/>
    </row>
    <row r="73" spans="2:8" s="60" customFormat="1">
      <c r="B73" s="250"/>
      <c r="D73" s="285" t="s">
        <v>73</v>
      </c>
      <c r="E73" s="378">
        <f>'CA Procesos'!H58</f>
        <v>46614</v>
      </c>
      <c r="F73" s="379"/>
      <c r="H73" s="250"/>
    </row>
    <row r="74" spans="2:8" s="60" customFormat="1">
      <c r="B74" s="250"/>
      <c r="D74" s="419" t="s">
        <v>119</v>
      </c>
      <c r="E74" s="272">
        <f>'CA Procesos'!H46</f>
        <v>46636</v>
      </c>
      <c r="F74" s="280">
        <f>'CA Procesos'!I46</f>
        <v>46641</v>
      </c>
      <c r="H74" s="250"/>
    </row>
    <row r="75" spans="2:8" s="60" customFormat="1">
      <c r="B75" s="250"/>
      <c r="D75" s="285" t="s">
        <v>74</v>
      </c>
      <c r="E75" s="378">
        <f>'CA Procesos'!H59</f>
        <v>46646</v>
      </c>
      <c r="F75" s="379"/>
      <c r="H75" s="250"/>
    </row>
    <row r="76" spans="2:8" s="60" customFormat="1">
      <c r="B76" s="250"/>
      <c r="D76" s="321" t="s">
        <v>118</v>
      </c>
      <c r="E76" s="378">
        <f>'CA Procesos'!H60</f>
        <v>46647</v>
      </c>
      <c r="F76" s="379"/>
      <c r="H76" s="250"/>
    </row>
    <row r="77" spans="2:8" s="60" customFormat="1">
      <c r="B77" s="250"/>
      <c r="D77" s="289" t="s">
        <v>75</v>
      </c>
      <c r="E77" s="270">
        <f>'CA Procesos'!H61</f>
        <v>46648</v>
      </c>
      <c r="F77" s="286">
        <f>'CA Procesos'!I61</f>
        <v>46649</v>
      </c>
      <c r="H77" s="250"/>
    </row>
    <row r="78" spans="2:8" s="60" customFormat="1">
      <c r="B78" s="250"/>
      <c r="D78" s="289" t="s">
        <v>76</v>
      </c>
      <c r="E78" s="378">
        <f>'CA Procesos'!H62</f>
        <v>46671</v>
      </c>
      <c r="F78" s="379"/>
      <c r="H78" s="250"/>
    </row>
    <row r="79" spans="2:8">
      <c r="B79" s="250"/>
      <c r="D79" s="279" t="s">
        <v>55</v>
      </c>
      <c r="E79" s="272">
        <f>'CA Procesos'!H34</f>
        <v>46685</v>
      </c>
      <c r="F79" s="280">
        <f>'CA Procesos'!I34</f>
        <v>46704</v>
      </c>
      <c r="H79" s="250"/>
    </row>
    <row r="80" spans="2:8">
      <c r="B80" s="250"/>
      <c r="D80" s="285" t="s">
        <v>77</v>
      </c>
      <c r="E80" s="378">
        <f>'CA Procesos'!H63</f>
        <v>46691</v>
      </c>
      <c r="F80" s="379"/>
      <c r="H80" s="250"/>
    </row>
    <row r="81" spans="2:8">
      <c r="B81" s="250"/>
      <c r="D81" s="285" t="s">
        <v>78</v>
      </c>
      <c r="E81" s="378">
        <f>'CA Procesos'!H64</f>
        <v>46692</v>
      </c>
      <c r="F81" s="379"/>
      <c r="H81" s="250"/>
    </row>
    <row r="82" spans="2:8" s="60" customFormat="1">
      <c r="B82" s="250"/>
      <c r="D82" s="279" t="s">
        <v>61</v>
      </c>
      <c r="E82" s="272">
        <f>'CA Procesos'!H40</f>
        <v>46699</v>
      </c>
      <c r="F82" s="280">
        <f>'CA Procesos'!I40</f>
        <v>46742</v>
      </c>
      <c r="H82" s="250"/>
    </row>
    <row r="83" spans="2:8" s="60" customFormat="1">
      <c r="B83" s="250"/>
      <c r="D83" s="321" t="s">
        <v>120</v>
      </c>
      <c r="E83" s="383">
        <f>'CA Procesos'!H65</f>
        <v>46702</v>
      </c>
      <c r="F83" s="384"/>
      <c r="H83" s="250"/>
    </row>
    <row r="84" spans="2:8" s="60" customFormat="1">
      <c r="B84" s="250"/>
      <c r="D84" s="287" t="s">
        <v>102</v>
      </c>
      <c r="E84" s="391">
        <f>'CA Procesos'!H41</f>
        <v>46725</v>
      </c>
      <c r="F84" s="392"/>
      <c r="H84" s="250"/>
    </row>
    <row r="85" spans="2:8" s="60" customFormat="1">
      <c r="B85" s="250"/>
      <c r="D85" s="287" t="s">
        <v>104</v>
      </c>
      <c r="E85" s="391">
        <f>'CA Procesos'!H42</f>
        <v>46725</v>
      </c>
      <c r="F85" s="392"/>
      <c r="H85" s="250"/>
    </row>
    <row r="86" spans="2:8">
      <c r="B86" s="250"/>
      <c r="D86" s="279" t="s">
        <v>91</v>
      </c>
      <c r="E86" s="383">
        <f>'CA Procesos'!H66</f>
        <v>46729</v>
      </c>
      <c r="F86" s="384"/>
      <c r="H86" s="250"/>
    </row>
    <row r="87" spans="2:8">
      <c r="B87" s="250"/>
      <c r="D87" s="279" t="s">
        <v>56</v>
      </c>
      <c r="E87" s="272">
        <f>'CA Procesos'!H35</f>
        <v>46727</v>
      </c>
      <c r="F87" s="280">
        <f>'CA Procesos'!I35</f>
        <v>46742</v>
      </c>
      <c r="H87" s="250"/>
    </row>
    <row r="88" spans="2:8" s="60" customFormat="1" ht="14.5" hidden="1" customHeight="1">
      <c r="B88" s="250"/>
      <c r="D88" s="289" t="s">
        <v>88</v>
      </c>
      <c r="E88" s="378"/>
      <c r="F88" s="379"/>
      <c r="H88" s="250"/>
    </row>
    <row r="89" spans="2:8" s="60" customFormat="1" ht="14.5" customHeight="1">
      <c r="B89" s="250"/>
      <c r="D89" s="287" t="s">
        <v>113</v>
      </c>
      <c r="E89" s="391">
        <v>46739</v>
      </c>
      <c r="F89" s="392"/>
      <c r="H89" s="250"/>
    </row>
    <row r="90" spans="2:8">
      <c r="B90" s="250"/>
      <c r="D90" s="277" t="s">
        <v>47</v>
      </c>
      <c r="E90" s="387">
        <f>'CA Procesos'!H24</f>
        <v>46743</v>
      </c>
      <c r="F90" s="388"/>
      <c r="H90" s="250"/>
    </row>
    <row r="91" spans="2:8">
      <c r="B91" s="250"/>
      <c r="D91" s="285" t="s">
        <v>79</v>
      </c>
      <c r="E91" s="378">
        <f>'CA Procesos'!H67</f>
        <v>46745</v>
      </c>
      <c r="F91" s="379"/>
      <c r="H91" s="250"/>
    </row>
    <row r="92" spans="2:8">
      <c r="B92" s="250"/>
      <c r="D92" s="289" t="s">
        <v>89</v>
      </c>
      <c r="E92" s="378">
        <f>'CA Procesos'!H68</f>
        <v>46746</v>
      </c>
      <c r="F92" s="379"/>
      <c r="H92" s="250"/>
    </row>
    <row r="93" spans="2:8" ht="16" thickBot="1">
      <c r="B93" s="250"/>
      <c r="D93" s="290" t="s">
        <v>81</v>
      </c>
      <c r="E93" s="389">
        <f>'CA Procesos'!H69</f>
        <v>46752</v>
      </c>
      <c r="F93" s="390"/>
      <c r="H93" s="250"/>
    </row>
    <row r="94" spans="2:8" ht="6.5" customHeight="1">
      <c r="B94" s="250"/>
      <c r="F94" s="265"/>
      <c r="H94" s="250"/>
    </row>
    <row r="95" spans="2:8">
      <c r="B95" s="250"/>
      <c r="C95" s="250"/>
      <c r="D95" s="256"/>
      <c r="E95" s="256"/>
      <c r="F95" s="264"/>
      <c r="G95" s="250"/>
      <c r="H95" s="250"/>
    </row>
    <row r="96" spans="2:8">
      <c r="F96" s="265"/>
    </row>
  </sheetData>
  <mergeCells count="29">
    <mergeCell ref="E93:F93"/>
    <mergeCell ref="E78:F78"/>
    <mergeCell ref="E80:F80"/>
    <mergeCell ref="E81:F81"/>
    <mergeCell ref="E83:F83"/>
    <mergeCell ref="E88:F88"/>
    <mergeCell ref="E90:F90"/>
    <mergeCell ref="E91:F91"/>
    <mergeCell ref="E92:F92"/>
    <mergeCell ref="E86:F86"/>
    <mergeCell ref="E84:F84"/>
    <mergeCell ref="E85:F85"/>
    <mergeCell ref="E89:F89"/>
    <mergeCell ref="E76:F76"/>
    <mergeCell ref="E75:F75"/>
    <mergeCell ref="D2:F3"/>
    <mergeCell ref="E5:F5"/>
    <mergeCell ref="E10:F10"/>
    <mergeCell ref="E36:F36"/>
    <mergeCell ref="E41:F41"/>
    <mergeCell ref="E42:F42"/>
    <mergeCell ref="E45:F45"/>
    <mergeCell ref="E46:F46"/>
    <mergeCell ref="E47:F47"/>
    <mergeCell ref="E52:F52"/>
    <mergeCell ref="E73:F73"/>
    <mergeCell ref="E50:F50"/>
    <mergeCell ref="E51:F51"/>
    <mergeCell ref="E48:F48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scale="55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9B22-FC12-42B7-B980-DC164E09926B}">
  <sheetPr>
    <pageSetUpPr fitToPage="1"/>
  </sheetPr>
  <dimension ref="C1:AS44"/>
  <sheetViews>
    <sheetView topLeftCell="A4" zoomScale="90" zoomScaleNormal="90" workbookViewId="0">
      <selection activeCell="AJ42" sqref="D5:AJ42"/>
    </sheetView>
  </sheetViews>
  <sheetFormatPr baseColWidth="10" defaultColWidth="9.1796875" defaultRowHeight="13"/>
  <cols>
    <col min="1" max="1" width="9.1796875" style="157"/>
    <col min="2" max="2" width="2.36328125" style="157" customWidth="1"/>
    <col min="3" max="3" width="3.81640625" style="157" customWidth="1"/>
    <col min="4" max="4" width="3.1796875" style="168" customWidth="1"/>
    <col min="5" max="10" width="4" style="157" customWidth="1"/>
    <col min="11" max="11" width="4.7265625" style="157" customWidth="1"/>
    <col min="12" max="12" width="8.6328125" style="168" customWidth="1"/>
    <col min="13" max="18" width="4" style="157" customWidth="1"/>
    <col min="19" max="19" width="4.81640625" style="157" customWidth="1"/>
    <col min="20" max="20" width="8.6328125" style="168" customWidth="1"/>
    <col min="21" max="27" width="4" style="157" customWidth="1"/>
    <col min="28" max="28" width="8.6328125" style="168" customWidth="1"/>
    <col min="29" max="35" width="4" style="157" customWidth="1"/>
    <col min="36" max="36" width="3.1796875" style="168" customWidth="1"/>
    <col min="37" max="37" width="3.81640625" style="157" customWidth="1"/>
    <col min="38" max="38" width="9.1796875" style="157"/>
    <col min="39" max="45" width="4.453125" style="157" customWidth="1"/>
    <col min="46" max="16384" width="9.1796875" style="157"/>
  </cols>
  <sheetData>
    <row r="1" spans="3:45" hidden="1">
      <c r="C1" s="156"/>
      <c r="E1" s="156"/>
      <c r="F1" s="156"/>
      <c r="G1" s="156"/>
      <c r="H1" s="156"/>
      <c r="I1" s="156"/>
      <c r="J1" s="156"/>
      <c r="K1" s="156"/>
      <c r="M1" s="156"/>
      <c r="N1" s="156"/>
      <c r="O1" s="156"/>
      <c r="P1" s="156"/>
      <c r="Q1" s="156"/>
      <c r="R1" s="156"/>
      <c r="S1" s="156"/>
      <c r="U1" s="156"/>
      <c r="V1" s="156"/>
      <c r="W1" s="156"/>
      <c r="X1" s="156"/>
      <c r="Y1" s="156"/>
      <c r="Z1" s="156"/>
      <c r="AA1" s="156"/>
      <c r="AC1" s="156"/>
      <c r="AD1" s="156"/>
      <c r="AE1" s="156"/>
      <c r="AF1" s="156"/>
      <c r="AG1" s="156"/>
      <c r="AH1" s="156"/>
      <c r="AI1" s="156"/>
      <c r="AK1" s="156" t="s">
        <v>92</v>
      </c>
    </row>
    <row r="2" spans="3:45" ht="24" hidden="1" customHeight="1">
      <c r="C2" s="156"/>
      <c r="D2" s="173"/>
      <c r="E2" s="159"/>
      <c r="F2" s="160" t="s">
        <v>93</v>
      </c>
      <c r="G2" s="394">
        <v>2027</v>
      </c>
      <c r="H2" s="395"/>
      <c r="I2" s="396"/>
      <c r="J2" s="161"/>
      <c r="K2" s="159"/>
      <c r="L2" s="177" t="s">
        <v>94</v>
      </c>
      <c r="M2" s="394">
        <v>1</v>
      </c>
      <c r="N2" s="395"/>
      <c r="O2" s="396"/>
      <c r="P2" s="161"/>
      <c r="Q2" s="161"/>
      <c r="R2" s="159"/>
      <c r="S2" s="160" t="s">
        <v>95</v>
      </c>
      <c r="T2" s="394">
        <v>2</v>
      </c>
      <c r="U2" s="395"/>
      <c r="V2" s="396"/>
      <c r="W2" s="162" t="s">
        <v>96</v>
      </c>
      <c r="X2" s="161"/>
      <c r="Y2" s="161"/>
      <c r="Z2" s="161"/>
      <c r="AA2" s="156"/>
      <c r="AC2" s="156"/>
      <c r="AD2" s="156"/>
      <c r="AE2" s="156"/>
      <c r="AF2" s="156"/>
      <c r="AG2" s="156"/>
      <c r="AH2" s="156"/>
      <c r="AI2" s="163"/>
      <c r="AJ2" s="173"/>
      <c r="AK2" s="156"/>
    </row>
    <row r="3" spans="3:45" ht="21" hidden="1" customHeight="1">
      <c r="C3" s="156"/>
      <c r="E3" s="156"/>
      <c r="F3" s="156"/>
      <c r="G3" s="156"/>
      <c r="H3" s="156"/>
      <c r="I3" s="156"/>
      <c r="J3" s="156"/>
      <c r="K3" s="156"/>
      <c r="M3" s="156"/>
      <c r="N3" s="156"/>
      <c r="O3" s="156"/>
      <c r="P3" s="156"/>
      <c r="Q3" s="156"/>
      <c r="R3" s="156"/>
      <c r="S3" s="156"/>
      <c r="U3" s="156"/>
      <c r="V3" s="156"/>
      <c r="W3" s="156"/>
      <c r="X3" s="156"/>
      <c r="Y3" s="156"/>
      <c r="Z3" s="156"/>
      <c r="AA3" s="156"/>
      <c r="AC3" s="156"/>
      <c r="AD3" s="156"/>
      <c r="AE3" s="156"/>
      <c r="AF3" s="156"/>
      <c r="AG3" s="156"/>
      <c r="AH3" s="156"/>
      <c r="AI3" s="156"/>
      <c r="AK3" s="156"/>
    </row>
    <row r="4" spans="3:45" ht="13" customHeight="1"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</row>
    <row r="5" spans="3:45" s="164" customFormat="1" ht="42.5" customHeight="1">
      <c r="C5" s="245"/>
      <c r="D5" s="403" t="s">
        <v>105</v>
      </c>
      <c r="E5" s="404"/>
      <c r="F5" s="404"/>
      <c r="G5" s="404"/>
      <c r="H5" s="404"/>
      <c r="I5" s="404"/>
      <c r="J5" s="404"/>
      <c r="K5" s="404"/>
      <c r="L5" s="404"/>
      <c r="M5" s="404"/>
      <c r="N5" s="404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4"/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245"/>
    </row>
    <row r="6" spans="3:45" s="164" customFormat="1" ht="14.5" customHeight="1">
      <c r="C6" s="245"/>
      <c r="D6" s="403"/>
      <c r="E6" s="404"/>
      <c r="F6" s="404"/>
      <c r="G6" s="404"/>
      <c r="H6" s="404"/>
      <c r="I6" s="404"/>
      <c r="J6" s="404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4"/>
      <c r="AD6" s="404"/>
      <c r="AE6" s="404"/>
      <c r="AF6" s="404"/>
      <c r="AG6" s="404"/>
      <c r="AH6" s="404"/>
      <c r="AI6" s="404"/>
      <c r="AJ6" s="404"/>
      <c r="AK6" s="245"/>
    </row>
    <row r="7" spans="3:45" s="164" customFormat="1" ht="18.5" customHeight="1">
      <c r="C7" s="245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  <c r="AJ7" s="404"/>
      <c r="AK7" s="245"/>
    </row>
    <row r="8" spans="3:45" ht="14" customHeight="1" thickBot="1">
      <c r="C8" s="244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244"/>
      <c r="AM8" s="164"/>
      <c r="AN8" s="164"/>
      <c r="AO8" s="164"/>
      <c r="AP8" s="164"/>
      <c r="AQ8" s="164"/>
      <c r="AR8" s="164"/>
      <c r="AS8" s="164"/>
    </row>
    <row r="9" spans="3:45" s="165" customFormat="1" ht="19" thickBot="1">
      <c r="C9" s="247"/>
      <c r="D9" s="393" t="s">
        <v>19</v>
      </c>
      <c r="E9" s="397">
        <f>DATE(G2,M2,1)</f>
        <v>46388</v>
      </c>
      <c r="F9" s="398"/>
      <c r="G9" s="398"/>
      <c r="H9" s="398"/>
      <c r="I9" s="398"/>
      <c r="J9" s="398"/>
      <c r="K9" s="399"/>
      <c r="L9" s="393" t="s">
        <v>19</v>
      </c>
      <c r="M9" s="400">
        <f>DATE(YEAR(E9+42),MONTH(E9+42),1)</f>
        <v>46419</v>
      </c>
      <c r="N9" s="401"/>
      <c r="O9" s="401"/>
      <c r="P9" s="401"/>
      <c r="Q9" s="401"/>
      <c r="R9" s="401"/>
      <c r="S9" s="402"/>
      <c r="T9" s="393" t="s">
        <v>19</v>
      </c>
      <c r="U9" s="397">
        <f>DATE(YEAR(M9+42),MONTH(M9+42),1)</f>
        <v>46447</v>
      </c>
      <c r="V9" s="398"/>
      <c r="W9" s="398"/>
      <c r="X9" s="398"/>
      <c r="Y9" s="398"/>
      <c r="Z9" s="398"/>
      <c r="AA9" s="399"/>
      <c r="AB9" s="393" t="s">
        <v>19</v>
      </c>
      <c r="AC9" s="400">
        <f>DATE(YEAR(U9+42),MONTH(U9+42),1)</f>
        <v>46478</v>
      </c>
      <c r="AD9" s="401"/>
      <c r="AE9" s="401"/>
      <c r="AF9" s="401"/>
      <c r="AG9" s="401"/>
      <c r="AH9" s="401"/>
      <c r="AI9" s="402"/>
      <c r="AJ9" s="178"/>
      <c r="AK9" s="244"/>
      <c r="AM9" s="164"/>
      <c r="AN9" s="164"/>
      <c r="AO9" s="164"/>
      <c r="AP9" s="164"/>
      <c r="AQ9" s="164"/>
      <c r="AR9" s="164"/>
      <c r="AS9" s="164"/>
    </row>
    <row r="10" spans="3:45" s="166" customFormat="1" ht="22.5" customHeight="1" thickBot="1">
      <c r="C10" s="248"/>
      <c r="D10" s="393"/>
      <c r="E10" s="206" t="str">
        <f>CHOOSE(1+MOD($T$2+1-2,7),"D","L","M","M","J","V","S")</f>
        <v>L</v>
      </c>
      <c r="F10" s="192" t="str">
        <f>CHOOSE(1+MOD($T$2+2-2,7),"D","L","M","M","J","V","S")</f>
        <v>M</v>
      </c>
      <c r="G10" s="192" t="str">
        <f>CHOOSE(1+MOD($T$2+3-2,7),"D","L","M","M","J","V","S")</f>
        <v>M</v>
      </c>
      <c r="H10" s="192" t="str">
        <f>CHOOSE(1+MOD($T$2+4-2,7),"D","L","M","M","J","V","S")</f>
        <v>J</v>
      </c>
      <c r="I10" s="192" t="str">
        <f>CHOOSE(1+MOD($T$2+5-2,7),"D","L","M","M","J","V","S")</f>
        <v>V</v>
      </c>
      <c r="J10" s="192" t="str">
        <f>CHOOSE(1+MOD($T$2+6-2,7),"D","L","M","M","J","V","S")</f>
        <v>S</v>
      </c>
      <c r="K10" s="207" t="str">
        <f>CHOOSE(1+MOD($T$2+7-2,7),"D","L","M","M","J","V","S")</f>
        <v>D</v>
      </c>
      <c r="L10" s="393"/>
      <c r="M10" s="191" t="str">
        <f>CHOOSE(1+MOD($T$2+1-2,7),"D","L","M","M","J","V","S")</f>
        <v>L</v>
      </c>
      <c r="N10" s="192" t="str">
        <f>CHOOSE(1+MOD($T$2+2-2,7),"D","L","M","M","J","V","S")</f>
        <v>M</v>
      </c>
      <c r="O10" s="192" t="str">
        <f>CHOOSE(1+MOD($T$2+3-2,7),"D","L","M","M","J","V","S")</f>
        <v>M</v>
      </c>
      <c r="P10" s="192" t="str">
        <f>CHOOSE(1+MOD($T$2+4-2,7),"D","L","M","M","J","V","S")</f>
        <v>J</v>
      </c>
      <c r="Q10" s="192" t="str">
        <f>CHOOSE(1+MOD($T$2+5-2,7),"D","L","M","M","J","V","S")</f>
        <v>V</v>
      </c>
      <c r="R10" s="192" t="str">
        <f>CHOOSE(1+MOD($T$2+6-2,7),"D","L","M","M","J","V","S")</f>
        <v>S</v>
      </c>
      <c r="S10" s="193" t="str">
        <f>CHOOSE(1+MOD($T$2+7-2,7),"D","L","M","M","J","V","S")</f>
        <v>D</v>
      </c>
      <c r="T10" s="393"/>
      <c r="U10" s="206" t="str">
        <f>CHOOSE(1+MOD($T$2+1-2,7),"D","L","M","M","J","V","S")</f>
        <v>L</v>
      </c>
      <c r="V10" s="192" t="str">
        <f>CHOOSE(1+MOD($T$2+2-2,7),"D","L","M","M","J","V","S")</f>
        <v>M</v>
      </c>
      <c r="W10" s="192" t="str">
        <f>CHOOSE(1+MOD($T$2+3-2,7),"D","L","M","M","J","V","S")</f>
        <v>M</v>
      </c>
      <c r="X10" s="192" t="str">
        <f>CHOOSE(1+MOD($T$2+4-2,7),"D","L","M","M","J","V","S")</f>
        <v>J</v>
      </c>
      <c r="Y10" s="192" t="str">
        <f>CHOOSE(1+MOD($T$2+5-2,7),"D","L","M","M","J","V","S")</f>
        <v>V</v>
      </c>
      <c r="Z10" s="192" t="str">
        <f>CHOOSE(1+MOD($T$2+6-2,7),"D","L","M","M","J","V","S")</f>
        <v>S</v>
      </c>
      <c r="AA10" s="207" t="str">
        <f>CHOOSE(1+MOD($T$2+7-2,7),"D","L","M","M","J","V","S")</f>
        <v>D</v>
      </c>
      <c r="AB10" s="393"/>
      <c r="AC10" s="216" t="str">
        <f>CHOOSE(1+MOD($T$2+1-2,7),"D","L","M","M","J","V","S")</f>
        <v>L</v>
      </c>
      <c r="AD10" s="217" t="str">
        <f>CHOOSE(1+MOD($T$2+2-2,7),"D","L","M","M","J","V","S")</f>
        <v>M</v>
      </c>
      <c r="AE10" s="217" t="str">
        <f>CHOOSE(1+MOD($T$2+3-2,7),"D","L","M","M","J","V","S")</f>
        <v>M</v>
      </c>
      <c r="AF10" s="217" t="str">
        <f>CHOOSE(1+MOD($T$2+4-2,7),"D","L","M","M","J","V","S")</f>
        <v>J</v>
      </c>
      <c r="AG10" s="217" t="str">
        <f>CHOOSE(1+MOD($T$2+5-2,7),"D","L","M","M","J","V","S")</f>
        <v>V</v>
      </c>
      <c r="AH10" s="217" t="str">
        <f>CHOOSE(1+MOD($T$2+6-2,7),"D","L","M","M","J","V","S")</f>
        <v>S</v>
      </c>
      <c r="AI10" s="218" t="str">
        <f>CHOOSE(1+MOD($T$2+7-2,7),"D","L","M","M","J","V","S")</f>
        <v>D</v>
      </c>
      <c r="AJ10" s="176"/>
      <c r="AK10" s="244"/>
      <c r="AM10" s="164"/>
      <c r="AN10" s="164"/>
      <c r="AO10" s="164"/>
      <c r="AP10" s="164"/>
      <c r="AQ10" s="164"/>
      <c r="AR10" s="164"/>
      <c r="AS10" s="164"/>
    </row>
    <row r="11" spans="3:45" s="167" customFormat="1" ht="16" thickBot="1">
      <c r="C11" s="249"/>
      <c r="D11" s="174"/>
      <c r="E11" s="219" t="str">
        <f>IF(WEEKDAY(E9,1)=MOD($T$2-1,7)+1,E9,"")</f>
        <v/>
      </c>
      <c r="F11" s="220" t="str">
        <f>IF(E11="",IF(WEEKDAY(E9,1)=MOD($T$2,7)+1,E9,""),E11+1)</f>
        <v/>
      </c>
      <c r="G11" s="220" t="str">
        <f>IF(F11="",IF(WEEKDAY(E9,1)=MOD($T$2+1,7)+1,E9,""),F11+1)</f>
        <v/>
      </c>
      <c r="H11" s="220" t="str">
        <f>IF(G11="",IF(WEEKDAY(E9,1)=MOD($T$2+2,7)+1,E9,""),G11+1)</f>
        <v/>
      </c>
      <c r="I11" s="182">
        <f>IF(H11="",IF(WEEKDAY(E9,1)=MOD($T$2+3,7)+1,E9,""),H11+1)</f>
        <v>46388</v>
      </c>
      <c r="J11" s="180">
        <f>IF(I11="",IF(WEEKDAY(E9,1)=MOD($T$2+4,7)+1,E9,""),I11+1)</f>
        <v>46389</v>
      </c>
      <c r="K11" s="209">
        <f>IF(J11="",IF(WEEKDAY(E9,1)=MOD($T$2+5,7)+1,E9,""),J11+1)</f>
        <v>46390</v>
      </c>
      <c r="L11" s="175">
        <v>5</v>
      </c>
      <c r="M11" s="184">
        <f>IF(WEEKDAY(M9,1)=MOD($T$2-1,7)+1,M9,"")</f>
        <v>46419</v>
      </c>
      <c r="N11" s="181">
        <f>IF(M11="",IF(WEEKDAY(M9,1)=MOD($T$2,7)+1,M9,""),M11+1)</f>
        <v>46420</v>
      </c>
      <c r="O11" s="181">
        <f>IF(N11="",IF(WEEKDAY(M9,1)=MOD($T$2+1,7)+1,M9,""),N11+1)</f>
        <v>46421</v>
      </c>
      <c r="P11" s="181">
        <f>IF(O11="",IF(WEEKDAY(M9,1)=MOD($T$2+2,7)+1,M9,""),O11+1)</f>
        <v>46422</v>
      </c>
      <c r="Q11" s="181">
        <f>IF(P11="",IF(WEEKDAY(M9,1)=MOD($T$2+3,7)+1,M9,""),P11+1)</f>
        <v>46423</v>
      </c>
      <c r="R11" s="181">
        <f>IF(Q11="",IF(WEEKDAY(M9,1)=MOD($T$2+4,7)+1,M9,""),Q11+1)</f>
        <v>46424</v>
      </c>
      <c r="S11" s="183">
        <f>IF(R11="",IF(WEEKDAY(M9,1)=MOD($T$2+5,7)+1,M9,""),R11+1)</f>
        <v>46425</v>
      </c>
      <c r="T11" s="173"/>
      <c r="U11" s="208">
        <f>IF(WEEKDAY(U9,1)=MOD($T$2-1,7)+1,U9,"")</f>
        <v>46447</v>
      </c>
      <c r="V11" s="189">
        <f>IF(U11="",IF(WEEKDAY(U9,1)=MOD($T$2,7)+1,U9,""),U11+1)</f>
        <v>46448</v>
      </c>
      <c r="W11" s="189">
        <f>IF(V11="",IF(WEEKDAY(U9,1)=MOD($T$2+1,7)+1,U9,""),V11+1)</f>
        <v>46449</v>
      </c>
      <c r="X11" s="189">
        <f>IF(W11="",IF(WEEKDAY(U9,1)=MOD($T$2+2,7)+1,U9,""),W11+1)</f>
        <v>46450</v>
      </c>
      <c r="Y11" s="189">
        <f>IF(X11="",IF(WEEKDAY(U9,1)=MOD($T$2+3,7)+1,U9,""),X11+1)</f>
        <v>46451</v>
      </c>
      <c r="Z11" s="189">
        <f>IF(Y11="",IF(WEEKDAY(U9,1)=MOD($T$2+4,7)+1,U9,""),Y11+1)</f>
        <v>46452</v>
      </c>
      <c r="AA11" s="209">
        <f>IF(Z11="",IF(WEEKDAY(U9,1)=MOD($T$2+5,7)+1,U9,""),Z11+1)</f>
        <v>46453</v>
      </c>
      <c r="AB11" s="175">
        <v>4</v>
      </c>
      <c r="AC11" s="219" t="str">
        <f>IF(WEEKDAY(AC9,1)=MOD($T$2-1,7)+1,AC9,"")</f>
        <v/>
      </c>
      <c r="AD11" s="220" t="str">
        <f>IF(AC11="",IF(WEEKDAY(AC9,1)=MOD($T$2,7)+1,AC9,""),AC11+1)</f>
        <v/>
      </c>
      <c r="AE11" s="220" t="str">
        <f>IF(AD11="",IF(WEEKDAY(AD9,1)=MOD($T$2,7)+1,AD9,""),AD11+1)</f>
        <v/>
      </c>
      <c r="AF11" s="221">
        <f>IF(AE11="",IF(WEEKDAY(AC9,1)=MOD($T$2+2,7)+1,AC9,""),AE11+1)</f>
        <v>46478</v>
      </c>
      <c r="AG11" s="221">
        <f>IF(AF11="",IF(WEEKDAY(AC9,1)=MOD($T$2+3,7)+1,AC9,""),AF11+1)</f>
        <v>46479</v>
      </c>
      <c r="AH11" s="221">
        <f>IF(AG11="",IF(WEEKDAY(AC9,1)=MOD($T$2+4,7)+1,AC9,""),AG11+1)</f>
        <v>46480</v>
      </c>
      <c r="AI11" s="222">
        <f>IF(AH11="",IF(WEEKDAY(AC9,1)=MOD($T$2+5,7)+1,AC9,""),AH11+1)</f>
        <v>46481</v>
      </c>
      <c r="AJ11" s="176"/>
      <c r="AK11" s="244"/>
      <c r="AM11" s="164"/>
      <c r="AN11" s="164"/>
      <c r="AO11" s="164"/>
      <c r="AP11" s="164"/>
      <c r="AQ11" s="164"/>
      <c r="AR11" s="164"/>
      <c r="AS11" s="164"/>
    </row>
    <row r="12" spans="3:45" s="167" customFormat="1" ht="16" thickBot="1">
      <c r="C12" s="249"/>
      <c r="D12" s="175">
        <v>1</v>
      </c>
      <c r="E12" s="211">
        <f>IF(K11="","",IF(MONTH(K11+1)&lt;&gt;MONTH(K11),"",K11+1))</f>
        <v>46391</v>
      </c>
      <c r="F12" s="181">
        <f>IF(E12="","",IF(MONTH(E12+1)&lt;&gt;MONTH(E12),"",E12+1))</f>
        <v>46392</v>
      </c>
      <c r="G12" s="181">
        <f t="shared" ref="G12:K16" si="0">IF(F12="","",IF(MONTH(F12+1)&lt;&gt;MONTH(F12),"",F12+1))</f>
        <v>46393</v>
      </c>
      <c r="H12" s="181">
        <f t="shared" si="0"/>
        <v>46394</v>
      </c>
      <c r="I12" s="181">
        <f t="shared" si="0"/>
        <v>46395</v>
      </c>
      <c r="J12" s="181">
        <f t="shared" si="0"/>
        <v>46396</v>
      </c>
      <c r="K12" s="209">
        <f t="shared" si="0"/>
        <v>46397</v>
      </c>
      <c r="L12" s="175">
        <v>6</v>
      </c>
      <c r="M12" s="215">
        <f>IF(S11="","",IF(MONTH(S11+1)&lt;&gt;MONTH(S11),"",S11+1))</f>
        <v>46426</v>
      </c>
      <c r="N12" s="180">
        <f>IF(M12="","",IF(MONTH(M12+1)&lt;&gt;MONTH(M12),"",M12+1))</f>
        <v>46427</v>
      </c>
      <c r="O12" s="180">
        <f t="shared" ref="O12:S16" si="1">IF(N12="","",IF(MONTH(N12+1)&lt;&gt;MONTH(N12),"",N12+1))</f>
        <v>46428</v>
      </c>
      <c r="P12" s="180">
        <f t="shared" si="1"/>
        <v>46429</v>
      </c>
      <c r="Q12" s="180">
        <f t="shared" si="1"/>
        <v>46430</v>
      </c>
      <c r="R12" s="180">
        <f t="shared" si="1"/>
        <v>46431</v>
      </c>
      <c r="S12" s="183">
        <f t="shared" si="1"/>
        <v>46432</v>
      </c>
      <c r="T12" s="173">
        <v>1</v>
      </c>
      <c r="U12" s="210">
        <f>IF(AA11="","",IF(MONTH(AA11+1)&lt;&gt;MONTH(AA11),"",AA11+1))</f>
        <v>46454</v>
      </c>
      <c r="V12" s="181">
        <f>IF(U12="","",IF(MONTH(U12+1)&lt;&gt;MONTH(U12),"",U12+1))</f>
        <v>46455</v>
      </c>
      <c r="W12" s="181">
        <f t="shared" ref="W12:AA15" si="2">IF(V12="","",IF(MONTH(V12+1)&lt;&gt;MONTH(V12),"",V12+1))</f>
        <v>46456</v>
      </c>
      <c r="X12" s="181">
        <f t="shared" si="2"/>
        <v>46457</v>
      </c>
      <c r="Y12" s="181">
        <f t="shared" si="2"/>
        <v>46458</v>
      </c>
      <c r="Z12" s="181">
        <f t="shared" si="2"/>
        <v>46459</v>
      </c>
      <c r="AA12" s="209">
        <f t="shared" si="2"/>
        <v>46460</v>
      </c>
      <c r="AB12" s="175">
        <v>5</v>
      </c>
      <c r="AC12" s="211">
        <f>IF(AI11="","",IF(MONTH(AI11+1)&lt;&gt;MONTH(AI11),"",AI11+1))</f>
        <v>46482</v>
      </c>
      <c r="AD12" s="181">
        <f>IF(AC12="","",IF(MONTH(AC12+1)&lt;&gt;MONTH(AC12),"",AC12+1))</f>
        <v>46483</v>
      </c>
      <c r="AE12" s="181">
        <f t="shared" ref="AE12:AI16" si="3">IF(AD12="","",IF(MONTH(AD12+1)&lt;&gt;MONTH(AD12),"",AD12+1))</f>
        <v>46484</v>
      </c>
      <c r="AF12" s="181">
        <f t="shared" si="3"/>
        <v>46485</v>
      </c>
      <c r="AG12" s="181">
        <f t="shared" si="3"/>
        <v>46486</v>
      </c>
      <c r="AH12" s="223">
        <f t="shared" si="3"/>
        <v>46487</v>
      </c>
      <c r="AI12" s="209">
        <f t="shared" si="3"/>
        <v>46488</v>
      </c>
      <c r="AJ12" s="176"/>
      <c r="AK12" s="244"/>
      <c r="AM12" s="164"/>
      <c r="AN12" s="164"/>
      <c r="AO12" s="164"/>
      <c r="AP12" s="164"/>
      <c r="AQ12" s="164"/>
      <c r="AR12" s="164"/>
      <c r="AS12" s="164"/>
    </row>
    <row r="13" spans="3:45" s="167" customFormat="1" ht="15.5">
      <c r="C13" s="249"/>
      <c r="D13" s="175">
        <v>2</v>
      </c>
      <c r="E13" s="324">
        <f>IF(K12="","",IF(MONTH(K12+1)&lt;&gt;MONTH(K12),"",K12+1))</f>
        <v>46398</v>
      </c>
      <c r="F13" s="325">
        <f>IF(E13="","",IF(MONTH(E13+1)&lt;&gt;MONTH(E13),"",E13+1))</f>
        <v>46399</v>
      </c>
      <c r="G13" s="325">
        <f t="shared" si="0"/>
        <v>46400</v>
      </c>
      <c r="H13" s="325">
        <f t="shared" si="0"/>
        <v>46401</v>
      </c>
      <c r="I13" s="181">
        <f t="shared" si="0"/>
        <v>46402</v>
      </c>
      <c r="J13" s="181">
        <f t="shared" si="0"/>
        <v>46403</v>
      </c>
      <c r="K13" s="209">
        <f t="shared" si="0"/>
        <v>46404</v>
      </c>
      <c r="L13" s="175"/>
      <c r="M13" s="185">
        <f>IF(S12="","",IF(MONTH(S12+1)&lt;&gt;MONTH(S12),"",S12+1))</f>
        <v>46433</v>
      </c>
      <c r="N13" s="180">
        <f>IF(M13="","",IF(MONTH(M13+1)&lt;&gt;MONTH(M13),"",M13+1))</f>
        <v>46434</v>
      </c>
      <c r="O13" s="180">
        <f t="shared" si="1"/>
        <v>46435</v>
      </c>
      <c r="P13" s="180">
        <f t="shared" si="1"/>
        <v>46436</v>
      </c>
      <c r="Q13" s="180">
        <f t="shared" si="1"/>
        <v>46437</v>
      </c>
      <c r="R13" s="180">
        <f t="shared" si="1"/>
        <v>46438</v>
      </c>
      <c r="S13" s="183">
        <f t="shared" si="1"/>
        <v>46439</v>
      </c>
      <c r="T13" s="175">
        <v>2</v>
      </c>
      <c r="U13" s="211">
        <f>IF(AA12="","",IF(MONTH(AA12+1)&lt;&gt;MONTH(AA12),"",AA12+1))</f>
        <v>46461</v>
      </c>
      <c r="V13" s="181">
        <f>IF(U13="","",IF(MONTH(U13+1)&lt;&gt;MONTH(U13),"",U13+1))</f>
        <v>46462</v>
      </c>
      <c r="W13" s="181">
        <f t="shared" si="2"/>
        <v>46463</v>
      </c>
      <c r="X13" s="181">
        <f t="shared" si="2"/>
        <v>46464</v>
      </c>
      <c r="Y13" s="181">
        <f t="shared" si="2"/>
        <v>46465</v>
      </c>
      <c r="Z13" s="181">
        <f t="shared" si="2"/>
        <v>46466</v>
      </c>
      <c r="AA13" s="209">
        <f t="shared" si="2"/>
        <v>46467</v>
      </c>
      <c r="AB13" s="175">
        <v>6</v>
      </c>
      <c r="AC13" s="211">
        <f>IF(AI12="","",IF(MONTH(AI12+1)&lt;&gt;MONTH(AI12),"",AI12+1))</f>
        <v>46489</v>
      </c>
      <c r="AD13" s="181">
        <f>IF(AC13="","",IF(MONTH(AC13+1)&lt;&gt;MONTH(AC13),"",AC13+1))</f>
        <v>46490</v>
      </c>
      <c r="AE13" s="181">
        <f t="shared" si="3"/>
        <v>46491</v>
      </c>
      <c r="AF13" s="181">
        <f t="shared" si="3"/>
        <v>46492</v>
      </c>
      <c r="AG13" s="181">
        <f t="shared" si="3"/>
        <v>46493</v>
      </c>
      <c r="AH13" s="181">
        <f t="shared" si="3"/>
        <v>46494</v>
      </c>
      <c r="AI13" s="209">
        <f t="shared" si="3"/>
        <v>46495</v>
      </c>
      <c r="AJ13" s="176"/>
      <c r="AK13" s="244"/>
      <c r="AM13" s="164"/>
      <c r="AN13" s="164"/>
      <c r="AO13" s="164"/>
      <c r="AP13" s="164"/>
      <c r="AQ13" s="164"/>
      <c r="AR13" s="164"/>
      <c r="AS13" s="164"/>
    </row>
    <row r="14" spans="3:45" s="167" customFormat="1" ht="15.5">
      <c r="C14" s="249"/>
      <c r="D14" s="175">
        <v>3</v>
      </c>
      <c r="E14" s="211">
        <f>IF(K13="","",IF(MONTH(K13+1)&lt;&gt;MONTH(K13),"",K13+1))</f>
        <v>46405</v>
      </c>
      <c r="F14" s="181">
        <f>IF(E14="","",IF(MONTH(E14+1)&lt;&gt;MONTH(E14),"",E14+1))</f>
        <v>46406</v>
      </c>
      <c r="G14" s="181">
        <f t="shared" si="0"/>
        <v>46407</v>
      </c>
      <c r="H14" s="181">
        <f t="shared" si="0"/>
        <v>46408</v>
      </c>
      <c r="I14" s="181">
        <f t="shared" si="0"/>
        <v>46409</v>
      </c>
      <c r="J14" s="181">
        <f t="shared" si="0"/>
        <v>46410</v>
      </c>
      <c r="K14" s="209">
        <f t="shared" si="0"/>
        <v>46411</v>
      </c>
      <c r="L14" s="173"/>
      <c r="M14" s="185">
        <f>IF(S13="","",IF(MONTH(S13+1)&lt;&gt;MONTH(S13),"",S13+1))</f>
        <v>46440</v>
      </c>
      <c r="N14" s="180">
        <f>IF(M14="","",IF(MONTH(M14+1)&lt;&gt;MONTH(M14),"",M14+1))</f>
        <v>46441</v>
      </c>
      <c r="O14" s="180">
        <f t="shared" si="1"/>
        <v>46442</v>
      </c>
      <c r="P14" s="180">
        <f t="shared" si="1"/>
        <v>46443</v>
      </c>
      <c r="Q14" s="180">
        <f t="shared" si="1"/>
        <v>46444</v>
      </c>
      <c r="R14" s="180">
        <f t="shared" si="1"/>
        <v>46445</v>
      </c>
      <c r="S14" s="183">
        <f t="shared" si="1"/>
        <v>46446</v>
      </c>
      <c r="T14" s="175">
        <v>3</v>
      </c>
      <c r="U14" s="210">
        <f>IF(AA13="","",IF(MONTH(AA13+1)&lt;&gt;MONTH(AA13),"",AA13+1))</f>
        <v>46468</v>
      </c>
      <c r="V14" s="181">
        <f>IF(U14="","",IF(MONTH(U14+1)&lt;&gt;MONTH(U14),"",U14+1))</f>
        <v>46469</v>
      </c>
      <c r="W14" s="181">
        <f t="shared" si="2"/>
        <v>46470</v>
      </c>
      <c r="X14" s="181">
        <f t="shared" si="2"/>
        <v>46471</v>
      </c>
      <c r="Y14" s="182">
        <f t="shared" si="2"/>
        <v>46472</v>
      </c>
      <c r="Z14" s="182">
        <f t="shared" si="2"/>
        <v>46473</v>
      </c>
      <c r="AA14" s="209">
        <f t="shared" si="2"/>
        <v>46474</v>
      </c>
      <c r="AB14" s="175">
        <v>7</v>
      </c>
      <c r="AC14" s="211">
        <f>IF(AI13="","",IF(MONTH(AI13+1)&lt;&gt;MONTH(AI13),"",AI13+1))</f>
        <v>46496</v>
      </c>
      <c r="AD14" s="181">
        <f>IF(AC14="","",IF(MONTH(AC14+1)&lt;&gt;MONTH(AC14),"",AC14+1))</f>
        <v>46497</v>
      </c>
      <c r="AE14" s="181">
        <f t="shared" si="3"/>
        <v>46498</v>
      </c>
      <c r="AF14" s="181">
        <f t="shared" si="3"/>
        <v>46499</v>
      </c>
      <c r="AG14" s="181">
        <f t="shared" si="3"/>
        <v>46500</v>
      </c>
      <c r="AH14" s="181">
        <f t="shared" si="3"/>
        <v>46501</v>
      </c>
      <c r="AI14" s="209">
        <f t="shared" si="3"/>
        <v>46502</v>
      </c>
      <c r="AJ14" s="176"/>
      <c r="AK14" s="244"/>
      <c r="AM14" s="164"/>
      <c r="AN14" s="164"/>
      <c r="AO14" s="164"/>
      <c r="AP14" s="164"/>
      <c r="AQ14" s="164"/>
      <c r="AR14" s="164"/>
      <c r="AS14" s="164"/>
    </row>
    <row r="15" spans="3:45" s="167" customFormat="1" ht="16" thickBot="1">
      <c r="C15" s="249"/>
      <c r="D15" s="175">
        <v>4</v>
      </c>
      <c r="E15" s="212">
        <f>IF(K14="","",IF(MONTH(K14+1)&lt;&gt;MONTH(K14),"",K14+1))</f>
        <v>46412</v>
      </c>
      <c r="F15" s="213">
        <f>IF(E15="","",IF(MONTH(E15+1)&lt;&gt;MONTH(E15),"",E15+1))</f>
        <v>46413</v>
      </c>
      <c r="G15" s="213">
        <f t="shared" si="0"/>
        <v>46414</v>
      </c>
      <c r="H15" s="213">
        <f t="shared" si="0"/>
        <v>46415</v>
      </c>
      <c r="I15" s="213">
        <f t="shared" si="0"/>
        <v>46416</v>
      </c>
      <c r="J15" s="213">
        <f t="shared" si="0"/>
        <v>46417</v>
      </c>
      <c r="K15" s="214">
        <f t="shared" si="0"/>
        <v>46418</v>
      </c>
      <c r="L15" s="173"/>
      <c r="M15" s="186" t="str">
        <f>IF(S14="","",IF(MONTH(S14+1)&lt;&gt;MONTH(S14),"",S14+1))</f>
        <v/>
      </c>
      <c r="N15" s="187" t="str">
        <f>IF(M15="","",IF(MONTH(M15+1)&lt;&gt;MONTH(M15),"",M15+1))</f>
        <v/>
      </c>
      <c r="O15" s="187" t="str">
        <f t="shared" si="1"/>
        <v/>
      </c>
      <c r="P15" s="187" t="str">
        <f t="shared" si="1"/>
        <v/>
      </c>
      <c r="Q15" s="187" t="str">
        <f t="shared" si="1"/>
        <v/>
      </c>
      <c r="R15" s="187" t="str">
        <f t="shared" si="1"/>
        <v/>
      </c>
      <c r="S15" s="229" t="str">
        <f t="shared" si="1"/>
        <v/>
      </c>
      <c r="T15" s="175">
        <v>4</v>
      </c>
      <c r="U15" s="212">
        <f>IF(AA14="","",IF(MONTH(AA14+1)&lt;&gt;MONTH(AA14),"",AA14+1))</f>
        <v>46475</v>
      </c>
      <c r="V15" s="213">
        <f>IF(U15="","",IF(MONTH(U15+1)&lt;&gt;MONTH(U15),"",U15+1))</f>
        <v>46476</v>
      </c>
      <c r="W15" s="213">
        <f t="shared" si="2"/>
        <v>46477</v>
      </c>
      <c r="X15" s="187" t="str">
        <f t="shared" si="2"/>
        <v/>
      </c>
      <c r="Y15" s="187" t="str">
        <f t="shared" si="2"/>
        <v/>
      </c>
      <c r="Z15" s="187" t="str">
        <f t="shared" ref="Z15" si="4">IF(Y15="","",IF(MONTH(Y15+1)&lt;&gt;MONTH(Y15),"",Y15+1))</f>
        <v/>
      </c>
      <c r="AA15" s="229" t="str">
        <f t="shared" si="2"/>
        <v/>
      </c>
      <c r="AB15" s="175">
        <v>8</v>
      </c>
      <c r="AC15" s="212">
        <f>IF(AI14="","",IF(MONTH(AI14+1)&lt;&gt;MONTH(AI14),"",AI14+1))</f>
        <v>46503</v>
      </c>
      <c r="AD15" s="213">
        <f>IF(AC15="","",IF(MONTH(AC15+1)&lt;&gt;MONTH(AC15),"",AC15+1))</f>
        <v>46504</v>
      </c>
      <c r="AE15" s="213">
        <f t="shared" si="3"/>
        <v>46505</v>
      </c>
      <c r="AF15" s="213">
        <f t="shared" si="3"/>
        <v>46506</v>
      </c>
      <c r="AG15" s="213">
        <f t="shared" si="3"/>
        <v>46507</v>
      </c>
      <c r="AH15" s="187" t="str">
        <f t="shared" si="3"/>
        <v/>
      </c>
      <c r="AI15" s="229" t="str">
        <f t="shared" si="3"/>
        <v/>
      </c>
      <c r="AJ15" s="176"/>
      <c r="AK15" s="244"/>
      <c r="AM15" s="164"/>
      <c r="AN15" s="164"/>
      <c r="AO15" s="164"/>
      <c r="AP15" s="164"/>
      <c r="AQ15" s="164"/>
      <c r="AR15" s="164"/>
      <c r="AS15" s="164"/>
    </row>
    <row r="16" spans="3:45" s="167" customFormat="1" ht="15.5">
      <c r="C16" s="249"/>
      <c r="D16" s="174"/>
      <c r="E16" s="179" t="str">
        <f>IF(K15="","",IF(MONTH(K15+1)&lt;&gt;MONTH(K15),"",K15+1))</f>
        <v/>
      </c>
      <c r="F16" s="179" t="str">
        <f>IF(E16="","",IF(MONTH(E16+1)&lt;&gt;MONTH(E16),"",E16+1))</f>
        <v/>
      </c>
      <c r="G16" s="179" t="str">
        <f t="shared" si="0"/>
        <v/>
      </c>
      <c r="H16" s="179" t="str">
        <f t="shared" si="0"/>
        <v/>
      </c>
      <c r="I16" s="179" t="str">
        <f t="shared" si="0"/>
        <v/>
      </c>
      <c r="J16" s="179" t="str">
        <f t="shared" si="0"/>
        <v/>
      </c>
      <c r="K16" s="179" t="str">
        <f t="shared" si="0"/>
        <v/>
      </c>
      <c r="L16" s="173"/>
      <c r="M16" s="179" t="str">
        <f>IF(S15="","",IF(MONTH(S15+1)&lt;&gt;MONTH(S15),"",S15+1))</f>
        <v/>
      </c>
      <c r="N16" s="179" t="str">
        <f>IF(M16="","",IF(MONTH(M16+1)&lt;&gt;MONTH(M16),"",M16+1))</f>
        <v/>
      </c>
      <c r="O16" s="179" t="str">
        <f t="shared" si="1"/>
        <v/>
      </c>
      <c r="P16" s="179" t="str">
        <f t="shared" si="1"/>
        <v/>
      </c>
      <c r="Q16" s="179" t="str">
        <f t="shared" si="1"/>
        <v/>
      </c>
      <c r="R16" s="179" t="str">
        <f t="shared" si="1"/>
        <v/>
      </c>
      <c r="S16" s="179" t="str">
        <f t="shared" si="1"/>
        <v/>
      </c>
      <c r="T16" s="175"/>
      <c r="U16" s="173"/>
      <c r="V16" s="173"/>
      <c r="W16" s="173"/>
      <c r="X16" s="173"/>
      <c r="Y16" s="173"/>
      <c r="Z16" s="173"/>
      <c r="AA16" s="173"/>
      <c r="AB16" s="173"/>
      <c r="AC16" s="179" t="str">
        <f>IF(AI15="","",IF(MONTH(AI15+1)&lt;&gt;MONTH(AI15),"",AI15+1))</f>
        <v/>
      </c>
      <c r="AD16" s="179" t="str">
        <f>IF(AC16="","",IF(MONTH(AC16+1)&lt;&gt;MONTH(AC16),"",AC16+1))</f>
        <v/>
      </c>
      <c r="AE16" s="179" t="str">
        <f t="shared" si="3"/>
        <v/>
      </c>
      <c r="AF16" s="179" t="str">
        <f t="shared" si="3"/>
        <v/>
      </c>
      <c r="AG16" s="179" t="str">
        <f t="shared" si="3"/>
        <v/>
      </c>
      <c r="AH16" s="179" t="str">
        <f t="shared" si="3"/>
        <v/>
      </c>
      <c r="AI16" s="179" t="str">
        <f t="shared" si="3"/>
        <v/>
      </c>
      <c r="AJ16" s="176"/>
      <c r="AK16" s="244"/>
      <c r="AM16" s="164"/>
      <c r="AN16" s="164"/>
      <c r="AO16" s="164"/>
      <c r="AP16" s="164"/>
      <c r="AQ16" s="164"/>
      <c r="AR16" s="164"/>
      <c r="AS16" s="164"/>
    </row>
    <row r="17" spans="3:45" ht="29.5" customHeight="1">
      <c r="C17" s="244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244"/>
      <c r="AM17" s="164"/>
      <c r="AN17" s="164"/>
      <c r="AO17" s="164"/>
      <c r="AP17" s="164"/>
      <c r="AQ17" s="164"/>
      <c r="AR17" s="164"/>
      <c r="AS17" s="164"/>
    </row>
    <row r="18" spans="3:45" ht="1" customHeight="1">
      <c r="C18" s="244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244"/>
      <c r="AM18" s="164"/>
      <c r="AN18" s="164"/>
      <c r="AO18" s="164"/>
      <c r="AP18" s="164"/>
      <c r="AQ18" s="164"/>
      <c r="AR18" s="164"/>
      <c r="AS18" s="164"/>
    </row>
    <row r="19" spans="3:45" ht="10.5" customHeight="1" thickBot="1">
      <c r="C19" s="244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244"/>
      <c r="AM19" s="164"/>
      <c r="AN19" s="164"/>
      <c r="AO19" s="164"/>
      <c r="AP19" s="164"/>
      <c r="AQ19" s="164"/>
      <c r="AR19" s="164"/>
      <c r="AS19" s="164"/>
    </row>
    <row r="20" spans="3:45" s="165" customFormat="1" ht="19" thickBot="1">
      <c r="C20" s="247"/>
      <c r="D20" s="393" t="s">
        <v>19</v>
      </c>
      <c r="E20" s="400">
        <f>DATE(YEAR(AC9+42),MONTH(AC9+42),1)</f>
        <v>46508</v>
      </c>
      <c r="F20" s="401"/>
      <c r="G20" s="401"/>
      <c r="H20" s="401"/>
      <c r="I20" s="401"/>
      <c r="J20" s="401"/>
      <c r="K20" s="402"/>
      <c r="L20" s="393" t="s">
        <v>19</v>
      </c>
      <c r="M20" s="400">
        <f>DATE(YEAR(E20+42),MONTH(E20+42),1)</f>
        <v>46539</v>
      </c>
      <c r="N20" s="401"/>
      <c r="O20" s="401"/>
      <c r="P20" s="401"/>
      <c r="Q20" s="401"/>
      <c r="R20" s="401"/>
      <c r="S20" s="402"/>
      <c r="T20" s="393" t="s">
        <v>19</v>
      </c>
      <c r="U20" s="400">
        <f>DATE(YEAR(M20+42),MONTH(M20+42),1)</f>
        <v>46569</v>
      </c>
      <c r="V20" s="401"/>
      <c r="W20" s="401"/>
      <c r="X20" s="401"/>
      <c r="Y20" s="401"/>
      <c r="Z20" s="401"/>
      <c r="AA20" s="402"/>
      <c r="AB20" s="393" t="s">
        <v>19</v>
      </c>
      <c r="AC20" s="400">
        <f>DATE(YEAR(U20+42),MONTH(U20+42),1)</f>
        <v>46600</v>
      </c>
      <c r="AD20" s="401"/>
      <c r="AE20" s="401"/>
      <c r="AF20" s="401"/>
      <c r="AG20" s="401"/>
      <c r="AH20" s="401"/>
      <c r="AI20" s="402"/>
      <c r="AJ20" s="178"/>
      <c r="AK20" s="244"/>
    </row>
    <row r="21" spans="3:45" s="166" customFormat="1" ht="26" customHeight="1" thickBot="1">
      <c r="C21" s="248"/>
      <c r="D21" s="393"/>
      <c r="E21" s="216" t="str">
        <f>CHOOSE(1+MOD($T$2+1-2,7),"D","L","M","M","J","V","S")</f>
        <v>L</v>
      </c>
      <c r="F21" s="217" t="str">
        <f>CHOOSE(1+MOD($T$2+2-2,7),"D","L","M","M","J","V","S")</f>
        <v>M</v>
      </c>
      <c r="G21" s="217" t="str">
        <f>CHOOSE(1+MOD($T$2+3-2,7),"D","L","M","M","J","V","S")</f>
        <v>M</v>
      </c>
      <c r="H21" s="217" t="str">
        <f>CHOOSE(1+MOD($T$2+4-2,7),"D","L","M","M","J","V","S")</f>
        <v>J</v>
      </c>
      <c r="I21" s="217" t="str">
        <f>CHOOSE(1+MOD($T$2+5-2,7),"D","L","M","M","J","V","S")</f>
        <v>V</v>
      </c>
      <c r="J21" s="217" t="str">
        <f>CHOOSE(1+MOD($T$2+6-2,7),"D","L","M","M","J","V","S")</f>
        <v>S</v>
      </c>
      <c r="K21" s="218" t="str">
        <f>CHOOSE(1+MOD($T$2+7-2,7),"D","L","M","M","J","V","S")</f>
        <v>D</v>
      </c>
      <c r="L21" s="393"/>
      <c r="M21" s="216" t="str">
        <f>CHOOSE(1+MOD($T$2+1-2,7),"D","L","M","M","J","V","S")</f>
        <v>L</v>
      </c>
      <c r="N21" s="217" t="str">
        <f>CHOOSE(1+MOD($T$2+2-2,7),"D","L","M","M","J","V","S")</f>
        <v>M</v>
      </c>
      <c r="O21" s="217" t="str">
        <f>CHOOSE(1+MOD($T$2+3-2,7),"D","L","M","M","J","V","S")</f>
        <v>M</v>
      </c>
      <c r="P21" s="217" t="str">
        <f>CHOOSE(1+MOD($T$2+4-2,7),"D","L","M","M","J","V","S")</f>
        <v>J</v>
      </c>
      <c r="Q21" s="217" t="str">
        <f>CHOOSE(1+MOD($T$2+5-2,7),"D","L","M","M","J","V","S")</f>
        <v>V</v>
      </c>
      <c r="R21" s="217" t="str">
        <f>CHOOSE(1+MOD($T$2+6-2,7),"D","L","M","M","J","V","S")</f>
        <v>S</v>
      </c>
      <c r="S21" s="218" t="str">
        <f>CHOOSE(1+MOD($T$2+7-2,7),"D","L","M","M","J","V","S")</f>
        <v>D</v>
      </c>
      <c r="T21" s="393"/>
      <c r="U21" s="191" t="str">
        <f>CHOOSE(1+MOD($T$2+1-2,7),"D","L","M","M","J","V","S")</f>
        <v>L</v>
      </c>
      <c r="V21" s="192" t="str">
        <f>CHOOSE(1+MOD($T$2+2-2,7),"D","L","M","M","J","V","S")</f>
        <v>M</v>
      </c>
      <c r="W21" s="192" t="str">
        <f>CHOOSE(1+MOD($T$2+3-2,7),"D","L","M","M","J","V","S")</f>
        <v>M</v>
      </c>
      <c r="X21" s="192" t="str">
        <f>CHOOSE(1+MOD($T$2+4-2,7),"D","L","M","M","J","V","S")</f>
        <v>J</v>
      </c>
      <c r="Y21" s="192" t="str">
        <f>CHOOSE(1+MOD($T$2+5-2,7),"D","L","M","M","J","V","S")</f>
        <v>V</v>
      </c>
      <c r="Z21" s="192" t="str">
        <f>CHOOSE(1+MOD($T$2+6-2,7),"D","L","M","M","J","V","S")</f>
        <v>S</v>
      </c>
      <c r="AA21" s="193" t="str">
        <f>CHOOSE(1+MOD($T$2+7-2,7),"D","L","M","M","J","V","S")</f>
        <v>D</v>
      </c>
      <c r="AB21" s="393"/>
      <c r="AC21" s="216" t="str">
        <f>CHOOSE(1+MOD($T$2+1-2,7),"D","L","M","M","J","V","S")</f>
        <v>L</v>
      </c>
      <c r="AD21" s="217" t="str">
        <f>CHOOSE(1+MOD($T$2+2-2,7),"D","L","M","M","J","V","S")</f>
        <v>M</v>
      </c>
      <c r="AE21" s="217" t="str">
        <f>CHOOSE(1+MOD($T$2+3-2,7),"D","L","M","M","J","V","S")</f>
        <v>M</v>
      </c>
      <c r="AF21" s="217" t="str">
        <f>CHOOSE(1+MOD($T$2+4-2,7),"D","L","M","M","J","V","S")</f>
        <v>J</v>
      </c>
      <c r="AG21" s="217" t="str">
        <f>CHOOSE(1+MOD($T$2+5-2,7),"D","L","M","M","J","V","S")</f>
        <v>V</v>
      </c>
      <c r="AH21" s="217" t="str">
        <f>CHOOSE(1+MOD($T$2+6-2,7),"D","L","M","M","J","V","S")</f>
        <v>S</v>
      </c>
      <c r="AI21" s="218" t="str">
        <f>CHOOSE(1+MOD($T$2+7-2,7),"D","L","M","M","J","V","S")</f>
        <v>D</v>
      </c>
      <c r="AJ21" s="176"/>
      <c r="AK21" s="244"/>
    </row>
    <row r="22" spans="3:45" s="167" customFormat="1" ht="16" thickBot="1">
      <c r="C22" s="249"/>
      <c r="D22" s="175">
        <v>8</v>
      </c>
      <c r="E22" s="219" t="str">
        <f>IF(WEEKDAY(E20,1)=MOD($T$2-1,7)+1,E20,"")</f>
        <v/>
      </c>
      <c r="F22" s="220" t="str">
        <f>IF(E22="",IF(WEEKDAY(E20,1)=MOD($T$2,7)+1,E20,""),E22+1)</f>
        <v/>
      </c>
      <c r="G22" s="220" t="str">
        <f>IF(F22="",IF(WEEKDAY(E20,1)=MOD($T$2+1,7)+1,E20,""),F22+1)</f>
        <v/>
      </c>
      <c r="H22" s="220" t="str">
        <f>IF(G22="",IF(WEEKDAY(E20,1)=MOD($T$2+2,7)+1,E20,""),G22+1)</f>
        <v/>
      </c>
      <c r="I22" s="220" t="str">
        <f>IF(H22="",IF(WEEKDAY(F20,1)=MOD($T$2+2,7)+1,F20,""),H22+1)</f>
        <v/>
      </c>
      <c r="J22" s="233">
        <f>IF(I22="",IF(WEEKDAY(E20,1)=MOD($T$2+4,7)+1,E20,""),I22+1)</f>
        <v>46508</v>
      </c>
      <c r="K22" s="222">
        <f>IF(J22="",IF(WEEKDAY(E20,1)=MOD($T$2+5,7)+1,E20,""),J22+1)</f>
        <v>46509</v>
      </c>
      <c r="L22" s="175">
        <v>13</v>
      </c>
      <c r="M22" s="219" t="str">
        <f>IF(WEEKDAY(M20,1)=MOD($T$2-1,7)+1,M20,"")</f>
        <v/>
      </c>
      <c r="N22" s="224">
        <f>IF(M22="",IF(WEEKDAY(M20,1)=MOD($T$2,7)+1,M20,""),M22+1)</f>
        <v>46539</v>
      </c>
      <c r="O22" s="224">
        <f>IF(N22="",IF(WEEKDAY(M20,1)=MOD($T$2+1,7)+1,M20,""),N22+1)</f>
        <v>46540</v>
      </c>
      <c r="P22" s="224">
        <f>IF(O22="",IF(WEEKDAY(M20,1)=MOD($T$2+2,7)+1,M20,""),O22+1)</f>
        <v>46541</v>
      </c>
      <c r="Q22" s="224">
        <f>IF(P22="",IF(WEEKDAY(M20,1)=MOD($T$2+3,7)+1,M20,""),P22+1)</f>
        <v>46542</v>
      </c>
      <c r="R22" s="224">
        <f>IF(Q22="",IF(WEEKDAY(M20,1)=MOD($T$2+4,7)+1,M20,""),Q22+1)</f>
        <v>46543</v>
      </c>
      <c r="S22" s="222">
        <f>IF(R22="",IF(WEEKDAY(M20,1)=MOD($T$2+5,7)+1,M20,""),R22+1)</f>
        <v>46544</v>
      </c>
      <c r="T22" s="175">
        <v>17</v>
      </c>
      <c r="U22" s="219" t="str">
        <f>IF(WEEKDAY(U20,1)=MOD($T$2-1,7)+1,U20,"")</f>
        <v/>
      </c>
      <c r="V22" s="220" t="str">
        <f>IF(U22="",IF(WEEKDAY(U20,1)=MOD($T$2,7)+1,U20,""),U22+1)</f>
        <v/>
      </c>
      <c r="W22" s="220" t="str">
        <f>IF(V22="",IF(WEEKDAY(U20,1)=MOD($T$2+1,7)+1,U20,""),V22+1)</f>
        <v/>
      </c>
      <c r="X22" s="221">
        <f>IF(W22="",IF(WEEKDAY(U20,1)=MOD($T$2+2,7)+1,U20,""),W22+1)</f>
        <v>46569</v>
      </c>
      <c r="Y22" s="221">
        <f>IF(X22="",IF(WEEKDAY(U20,1)=MOD($T$2+3,7)+1,U20,""),X22+1)</f>
        <v>46570</v>
      </c>
      <c r="Z22" s="238">
        <f>IF(Y22="",IF(WEEKDAY(U20,1)=MOD($T$2+4,7)+1,U20,""),Y22+1)</f>
        <v>46571</v>
      </c>
      <c r="AA22" s="183">
        <f>IF(Z22="",IF(WEEKDAY(U20,1)=MOD($T$2+5,7)+1,U20,""),Z22+1)</f>
        <v>46572</v>
      </c>
      <c r="AB22" s="173"/>
      <c r="AC22" s="219" t="str">
        <f>IF(WEEKDAY(AC20,1)=MOD($T$2-1,7)+1,AC20,"")</f>
        <v/>
      </c>
      <c r="AD22" s="220" t="str">
        <f>IF(AC22="",IF(WEEKDAY(AC20,1)=MOD($T$2,7)+1,AC20,""),AC22+1)</f>
        <v/>
      </c>
      <c r="AE22" s="220" t="str">
        <f>IF(AD22="",IF(WEEKDAY(AC20,1)=MOD($T$2+1,7)+1,AC20,""),AD22+1)</f>
        <v/>
      </c>
      <c r="AF22" s="220" t="str">
        <f>IF(AE22="",IF(WEEKDAY(AC20,1)=MOD($T$2+2,7)+1,AC20,""),AE22+1)</f>
        <v/>
      </c>
      <c r="AG22" s="220" t="str">
        <f>IF(AF22="",IF(WEEKDAY(AC20,1)=MOD($T$2+3,7)+1,AC20,""),AF22+1)</f>
        <v/>
      </c>
      <c r="AH22" s="220" t="str">
        <f>IF(AG22="",IF(WEEKDAY(AC20,1)=MOD($T$2+4,7)+1,AC20,""),AG22+1)</f>
        <v/>
      </c>
      <c r="AI22" s="222">
        <f>IF(AH22="",IF(WEEKDAY(AC20,1)=MOD($T$2+5,7)+1,AC20,""),AH22+1)</f>
        <v>46600</v>
      </c>
      <c r="AJ22" s="176"/>
      <c r="AK22" s="244"/>
    </row>
    <row r="23" spans="3:45" s="167" customFormat="1" ht="15.5">
      <c r="C23" s="249"/>
      <c r="D23" s="175">
        <v>9</v>
      </c>
      <c r="E23" s="211">
        <f>IF(K22="","",IF(MONTH(K22+1)&lt;&gt;MONTH(K22),"",K22+1))</f>
        <v>46510</v>
      </c>
      <c r="F23" s="181">
        <f>IF(E23="","",IF(MONTH(E23+1)&lt;&gt;MONTH(E23),"",E23+1))</f>
        <v>46511</v>
      </c>
      <c r="G23" s="181">
        <f t="shared" ref="G23:K27" si="5">IF(F23="","",IF(MONTH(F23+1)&lt;&gt;MONTH(F23),"",F23+1))</f>
        <v>46512</v>
      </c>
      <c r="H23" s="181">
        <f t="shared" si="5"/>
        <v>46513</v>
      </c>
      <c r="I23" s="181">
        <f t="shared" si="5"/>
        <v>46514</v>
      </c>
      <c r="J23" s="181">
        <f t="shared" si="5"/>
        <v>46515</v>
      </c>
      <c r="K23" s="209">
        <f t="shared" si="5"/>
        <v>46516</v>
      </c>
      <c r="L23" s="175">
        <v>14</v>
      </c>
      <c r="M23" s="225">
        <f>IF(S22="","",IF(MONTH(S22+1)&lt;&gt;MONTH(S22),"",S22+1))</f>
        <v>46545</v>
      </c>
      <c r="N23" s="226">
        <f>IF(M23="","",IF(MONTH(M23+1)&lt;&gt;MONTH(M23),"",M23+1))</f>
        <v>46546</v>
      </c>
      <c r="O23" s="226">
        <f t="shared" ref="O23:S27" si="6">IF(N23="","",IF(MONTH(N23+1)&lt;&gt;MONTH(N23),"",N23+1))</f>
        <v>46547</v>
      </c>
      <c r="P23" s="226">
        <f t="shared" si="6"/>
        <v>46548</v>
      </c>
      <c r="Q23" s="226">
        <f t="shared" si="6"/>
        <v>46549</v>
      </c>
      <c r="R23" s="226">
        <f t="shared" si="6"/>
        <v>46550</v>
      </c>
      <c r="S23" s="209">
        <f t="shared" si="6"/>
        <v>46551</v>
      </c>
      <c r="T23" s="175">
        <v>18</v>
      </c>
      <c r="U23" s="204">
        <f>IF(AA22="","",IF(MONTH(AA22+1)&lt;&gt;MONTH(AA22),"",AA22+1))</f>
        <v>46573</v>
      </c>
      <c r="V23" s="202">
        <f>IF(U23="","",IF(MONTH(U23+1)&lt;&gt;MONTH(U23),"",U23+1))</f>
        <v>46574</v>
      </c>
      <c r="W23" s="202">
        <f t="shared" ref="W23:AA27" si="7">IF(V23="","",IF(MONTH(V23+1)&lt;&gt;MONTH(V23),"",V23+1))</f>
        <v>46575</v>
      </c>
      <c r="X23" s="202">
        <f t="shared" si="7"/>
        <v>46576</v>
      </c>
      <c r="Y23" s="202">
        <f t="shared" si="7"/>
        <v>46577</v>
      </c>
      <c r="Z23" s="203">
        <f t="shared" si="7"/>
        <v>46578</v>
      </c>
      <c r="AA23" s="183">
        <f t="shared" si="7"/>
        <v>46579</v>
      </c>
      <c r="AB23" s="173"/>
      <c r="AC23" s="232">
        <f>IF(AI22="","",IF(MONTH(AI22+1)&lt;&gt;MONTH(AI22),"",AI22+1))</f>
        <v>46601</v>
      </c>
      <c r="AD23" s="189">
        <f>IF(AC23="","",IF(MONTH(AC23+1)&lt;&gt;MONTH(AC23),"",AC23+1))</f>
        <v>46602</v>
      </c>
      <c r="AE23" s="189">
        <f t="shared" ref="AE23:AI27" si="8">IF(AD23="","",IF(MONTH(AD23+1)&lt;&gt;MONTH(AD23),"",AD23+1))</f>
        <v>46603</v>
      </c>
      <c r="AF23" s="189">
        <f t="shared" si="8"/>
        <v>46604</v>
      </c>
      <c r="AG23" s="189">
        <f t="shared" si="8"/>
        <v>46605</v>
      </c>
      <c r="AH23" s="190">
        <f t="shared" si="8"/>
        <v>46606</v>
      </c>
      <c r="AI23" s="209">
        <f t="shared" si="8"/>
        <v>46607</v>
      </c>
      <c r="AJ23" s="176"/>
      <c r="AK23" s="244"/>
    </row>
    <row r="24" spans="3:45" s="167" customFormat="1" ht="16" thickBot="1">
      <c r="C24" s="249"/>
      <c r="D24" s="175">
        <v>10</v>
      </c>
      <c r="E24" s="211">
        <f>IF(K23="","",IF(MONTH(K23+1)&lt;&gt;MONTH(K23),"",K23+1))</f>
        <v>46517</v>
      </c>
      <c r="F24" s="181">
        <f>IF(E24="","",IF(MONTH(E24+1)&lt;&gt;MONTH(E24),"",E24+1))</f>
        <v>46518</v>
      </c>
      <c r="G24" s="181">
        <f t="shared" si="5"/>
        <v>46519</v>
      </c>
      <c r="H24" s="181">
        <f t="shared" si="5"/>
        <v>46520</v>
      </c>
      <c r="I24" s="181">
        <f t="shared" si="5"/>
        <v>46521</v>
      </c>
      <c r="J24" s="181">
        <f t="shared" si="5"/>
        <v>46522</v>
      </c>
      <c r="K24" s="209">
        <f t="shared" si="5"/>
        <v>46523</v>
      </c>
      <c r="L24" s="175">
        <v>15</v>
      </c>
      <c r="M24" s="211">
        <f>IF(S23="","",IF(MONTH(S23+1)&lt;&gt;MONTH(S23),"",S23+1))</f>
        <v>46552</v>
      </c>
      <c r="N24" s="181">
        <f>IF(M24="","",IF(MONTH(M24+1)&lt;&gt;MONTH(M24),"",M24+1))</f>
        <v>46553</v>
      </c>
      <c r="O24" s="181">
        <f t="shared" si="6"/>
        <v>46554</v>
      </c>
      <c r="P24" s="181">
        <f t="shared" si="6"/>
        <v>46555</v>
      </c>
      <c r="Q24" s="181">
        <f t="shared" si="6"/>
        <v>46556</v>
      </c>
      <c r="R24" s="181">
        <f t="shared" si="6"/>
        <v>46557</v>
      </c>
      <c r="S24" s="209">
        <f t="shared" si="6"/>
        <v>46558</v>
      </c>
      <c r="T24" s="175">
        <v>19</v>
      </c>
      <c r="U24" s="198">
        <f>IF(AA23="","",IF(MONTH(AA23+1)&lt;&gt;MONTH(AA23),"",AA23+1))</f>
        <v>46580</v>
      </c>
      <c r="V24" s="196">
        <f>IF(U24="","",IF(MONTH(U24+1)&lt;&gt;MONTH(U24),"",U24+1))</f>
        <v>46581</v>
      </c>
      <c r="W24" s="181">
        <f t="shared" si="7"/>
        <v>46582</v>
      </c>
      <c r="X24" s="181">
        <f t="shared" si="7"/>
        <v>46583</v>
      </c>
      <c r="Y24" s="205">
        <f t="shared" si="7"/>
        <v>46584</v>
      </c>
      <c r="Z24" s="197">
        <f t="shared" si="7"/>
        <v>46585</v>
      </c>
      <c r="AA24" s="183">
        <f t="shared" si="7"/>
        <v>46586</v>
      </c>
      <c r="AB24" s="175">
        <v>1</v>
      </c>
      <c r="AC24" s="210">
        <f>IF(AI23="","",IF(MONTH(AI23+1)&lt;&gt;MONTH(AI23),"",AI23+1))</f>
        <v>46608</v>
      </c>
      <c r="AD24" s="181">
        <f>IF(AC24="","",IF(MONTH(AC24+1)&lt;&gt;MONTH(AC24),"",AC24+1))</f>
        <v>46609</v>
      </c>
      <c r="AE24" s="181">
        <f t="shared" si="8"/>
        <v>46610</v>
      </c>
      <c r="AF24" s="181">
        <f t="shared" si="8"/>
        <v>46611</v>
      </c>
      <c r="AG24" s="181">
        <f t="shared" si="8"/>
        <v>46612</v>
      </c>
      <c r="AH24" s="181">
        <f t="shared" si="8"/>
        <v>46613</v>
      </c>
      <c r="AI24" s="209">
        <f t="shared" si="8"/>
        <v>46614</v>
      </c>
      <c r="AJ24" s="176"/>
      <c r="AK24" s="244"/>
    </row>
    <row r="25" spans="3:45" s="167" customFormat="1" ht="16" thickBot="1">
      <c r="C25" s="249"/>
      <c r="D25" s="175">
        <v>11</v>
      </c>
      <c r="E25" s="211">
        <f>IF(K24="","",IF(MONTH(K24+1)&lt;&gt;MONTH(K24),"",K24+1))</f>
        <v>46524</v>
      </c>
      <c r="F25" s="181">
        <f>IF(E25="","",IF(MONTH(E25+1)&lt;&gt;MONTH(E25),"",E25+1))</f>
        <v>46525</v>
      </c>
      <c r="G25" s="181">
        <f t="shared" si="5"/>
        <v>46526</v>
      </c>
      <c r="H25" s="181">
        <f t="shared" si="5"/>
        <v>46527</v>
      </c>
      <c r="I25" s="182">
        <f t="shared" si="5"/>
        <v>46528</v>
      </c>
      <c r="J25" s="181">
        <f t="shared" si="5"/>
        <v>46529</v>
      </c>
      <c r="K25" s="209">
        <f t="shared" si="5"/>
        <v>46530</v>
      </c>
      <c r="L25" s="175">
        <v>16</v>
      </c>
      <c r="M25" s="234">
        <f>IF(S24="","",IF(MONTH(S24+1)&lt;&gt;MONTH(S24),"",S24+1))</f>
        <v>46559</v>
      </c>
      <c r="N25" s="181">
        <f>IF(M25="","",IF(MONTH(M25+1)&lt;&gt;MONTH(M25),"",M25+1))</f>
        <v>46560</v>
      </c>
      <c r="O25" s="181">
        <f t="shared" si="6"/>
        <v>46561</v>
      </c>
      <c r="P25" s="181">
        <f t="shared" si="6"/>
        <v>46562</v>
      </c>
      <c r="Q25" s="181">
        <f t="shared" si="6"/>
        <v>46563</v>
      </c>
      <c r="R25" s="181">
        <f t="shared" si="6"/>
        <v>46564</v>
      </c>
      <c r="S25" s="209">
        <f t="shared" si="6"/>
        <v>46565</v>
      </c>
      <c r="T25" s="175">
        <v>20</v>
      </c>
      <c r="U25" s="199">
        <f>IF(AA24="","",IF(MONTH(AA24+1)&lt;&gt;MONTH(AA24),"",AA24+1))</f>
        <v>46587</v>
      </c>
      <c r="V25" s="196">
        <f>IF(U25="","",IF(MONTH(U25+1)&lt;&gt;MONTH(U25),"",U25+1))</f>
        <v>46588</v>
      </c>
      <c r="W25" s="201">
        <f t="shared" si="7"/>
        <v>46589</v>
      </c>
      <c r="X25" s="180">
        <f t="shared" si="7"/>
        <v>46590</v>
      </c>
      <c r="Y25" s="194">
        <f t="shared" si="7"/>
        <v>46591</v>
      </c>
      <c r="Z25" s="180">
        <f t="shared" si="7"/>
        <v>46592</v>
      </c>
      <c r="AA25" s="183">
        <f t="shared" si="7"/>
        <v>46593</v>
      </c>
      <c r="AB25" s="175">
        <v>2</v>
      </c>
      <c r="AC25" s="211">
        <f>IF(AI24="","",IF(MONTH(AI24+1)&lt;&gt;MONTH(AI24),"",AI24+1))</f>
        <v>46615</v>
      </c>
      <c r="AD25" s="181">
        <f>IF(AC25="","",IF(MONTH(AC25+1)&lt;&gt;MONTH(AC25),"",AC25+1))</f>
        <v>46616</v>
      </c>
      <c r="AE25" s="181">
        <f t="shared" si="8"/>
        <v>46617</v>
      </c>
      <c r="AF25" s="181">
        <f t="shared" si="8"/>
        <v>46618</v>
      </c>
      <c r="AG25" s="181">
        <f t="shared" si="8"/>
        <v>46619</v>
      </c>
      <c r="AH25" s="181">
        <f>IF(AG25="","",IF(MONTH(AG25+1)&lt;&gt;MONTH(AG25),"",AG25+1))</f>
        <v>46620</v>
      </c>
      <c r="AI25" s="209">
        <f t="shared" si="8"/>
        <v>46621</v>
      </c>
      <c r="AJ25" s="176"/>
      <c r="AK25" s="244"/>
    </row>
    <row r="26" spans="3:45" s="167" customFormat="1" ht="16" thickBot="1">
      <c r="C26" s="249"/>
      <c r="D26" s="175">
        <v>12</v>
      </c>
      <c r="E26" s="225">
        <f>IF(K25="","",IF(MONTH(K25+1)&lt;&gt;MONTH(K25),"",K25+1))</f>
        <v>46531</v>
      </c>
      <c r="F26" s="226">
        <f>IF(E26="","",IF(MONTH(E26+1)&lt;&gt;MONTH(E26),"",E26+1))</f>
        <v>46532</v>
      </c>
      <c r="G26" s="226">
        <f t="shared" si="5"/>
        <v>46533</v>
      </c>
      <c r="H26" s="226">
        <f t="shared" si="5"/>
        <v>46534</v>
      </c>
      <c r="I26" s="226">
        <f t="shared" si="5"/>
        <v>46535</v>
      </c>
      <c r="J26" s="226">
        <f t="shared" si="5"/>
        <v>46536</v>
      </c>
      <c r="K26" s="209">
        <f t="shared" si="5"/>
        <v>46537</v>
      </c>
      <c r="L26" s="175">
        <v>17</v>
      </c>
      <c r="M26" s="227">
        <f>IF(S25="","",IF(MONTH(S25+1)&lt;&gt;MONTH(S25),"",S25+1))</f>
        <v>46566</v>
      </c>
      <c r="N26" s="213">
        <f>IF(M26="","",IF(MONTH(M26+1)&lt;&gt;MONTH(M26),"",M26+1))</f>
        <v>46567</v>
      </c>
      <c r="O26" s="213">
        <f t="shared" si="6"/>
        <v>46568</v>
      </c>
      <c r="P26" s="228" t="str">
        <f t="shared" si="6"/>
        <v/>
      </c>
      <c r="Q26" s="228" t="str">
        <f t="shared" si="6"/>
        <v/>
      </c>
      <c r="R26" s="228" t="str">
        <f t="shared" ref="R26" si="9">IF(Q26="","",IF(MONTH(Q26+1)&lt;&gt;MONTH(Q26),"",Q26+1))</f>
        <v/>
      </c>
      <c r="S26" s="229" t="str">
        <f t="shared" ref="S26" si="10">IF(R26="","",IF(MONTH(R26+1)&lt;&gt;MONTH(R26),"",R26+1))</f>
        <v/>
      </c>
      <c r="T26" s="173"/>
      <c r="U26" s="186">
        <f>IF(AA25="","",IF(MONTH(AA25+1)&lt;&gt;MONTH(AA25),"",AA25+1))</f>
        <v>46594</v>
      </c>
      <c r="V26" s="188">
        <f>IF(U26="","",IF(MONTH(U26+1)&lt;&gt;MONTH(U26),"",U26+1))</f>
        <v>46595</v>
      </c>
      <c r="W26" s="188">
        <f t="shared" si="7"/>
        <v>46596</v>
      </c>
      <c r="X26" s="188">
        <f t="shared" si="7"/>
        <v>46597</v>
      </c>
      <c r="Y26" s="187">
        <f t="shared" si="7"/>
        <v>46598</v>
      </c>
      <c r="Z26" s="228">
        <f t="shared" si="7"/>
        <v>46599</v>
      </c>
      <c r="AA26" s="229" t="str">
        <f t="shared" si="7"/>
        <v/>
      </c>
      <c r="AB26" s="175">
        <v>3</v>
      </c>
      <c r="AC26" s="210">
        <f>IF(AI25="","",IF(MONTH(AI25+1)&lt;&gt;MONTH(AI25),"",AI25+1))</f>
        <v>46622</v>
      </c>
      <c r="AD26" s="181">
        <f>IF(AC26="","",IF(MONTH(AC26+1)&lt;&gt;MONTH(AC26),"",AC26+1))</f>
        <v>46623</v>
      </c>
      <c r="AE26" s="181">
        <f t="shared" si="8"/>
        <v>46624</v>
      </c>
      <c r="AF26" s="181">
        <f t="shared" si="8"/>
        <v>46625</v>
      </c>
      <c r="AG26" s="181">
        <f t="shared" si="8"/>
        <v>46626</v>
      </c>
      <c r="AH26" s="181">
        <f t="shared" si="8"/>
        <v>46627</v>
      </c>
      <c r="AI26" s="209">
        <f t="shared" si="8"/>
        <v>46628</v>
      </c>
      <c r="AJ26" s="176"/>
      <c r="AK26" s="244"/>
    </row>
    <row r="27" spans="3:45" s="167" customFormat="1" ht="16" thickBot="1">
      <c r="C27" s="249"/>
      <c r="D27" s="175">
        <v>13</v>
      </c>
      <c r="E27" s="235">
        <f>IF(K26="","",IF(MONTH(K26+1)&lt;&gt;MONTH(K26),"",K26+1))</f>
        <v>46538</v>
      </c>
      <c r="F27" s="228" t="str">
        <f>IF(E27="","",IF(MONTH(E27+1)&lt;&gt;MONTH(E27),"",E27+1))</f>
        <v/>
      </c>
      <c r="G27" s="228" t="str">
        <f t="shared" si="5"/>
        <v/>
      </c>
      <c r="H27" s="228" t="str">
        <f t="shared" si="5"/>
        <v/>
      </c>
      <c r="I27" s="228" t="str">
        <f t="shared" si="5"/>
        <v/>
      </c>
      <c r="J27" s="228" t="str">
        <f t="shared" si="5"/>
        <v/>
      </c>
      <c r="K27" s="229" t="str">
        <f t="shared" si="5"/>
        <v/>
      </c>
      <c r="L27" s="173"/>
      <c r="M27" s="179" t="str">
        <f>IF(S26="","",IF(MONTH(S26+1)&lt;&gt;MONTH(S26),"",S26+1))</f>
        <v/>
      </c>
      <c r="N27" s="179" t="str">
        <f>IF(M27="","",IF(MONTH(M27+1)&lt;&gt;MONTH(M27),"",M27+1))</f>
        <v/>
      </c>
      <c r="O27" s="179" t="str">
        <f t="shared" si="6"/>
        <v/>
      </c>
      <c r="P27" s="179" t="str">
        <f t="shared" si="6"/>
        <v/>
      </c>
      <c r="Q27" s="179" t="str">
        <f t="shared" si="6"/>
        <v/>
      </c>
      <c r="R27" s="179" t="str">
        <f t="shared" si="6"/>
        <v/>
      </c>
      <c r="S27" s="179" t="str">
        <f t="shared" si="6"/>
        <v/>
      </c>
      <c r="T27" s="173"/>
      <c r="U27" s="179" t="str">
        <f>IF(AA26="","",IF(MONTH(AA26+1)&lt;&gt;MONTH(AA26),"",AA26+1))</f>
        <v/>
      </c>
      <c r="V27" s="179" t="str">
        <f>IF(U27="","",IF(MONTH(U27+1)&lt;&gt;MONTH(U27),"",U27+1))</f>
        <v/>
      </c>
      <c r="W27" s="179" t="str">
        <f t="shared" si="7"/>
        <v/>
      </c>
      <c r="X27" s="179" t="str">
        <f t="shared" si="7"/>
        <v/>
      </c>
      <c r="Y27" s="179" t="str">
        <f t="shared" si="7"/>
        <v/>
      </c>
      <c r="Z27" s="179" t="str">
        <f t="shared" si="7"/>
        <v/>
      </c>
      <c r="AA27" s="179" t="str">
        <f t="shared" si="7"/>
        <v/>
      </c>
      <c r="AB27" s="175">
        <v>4</v>
      </c>
      <c r="AC27" s="212">
        <f>IF(AI26="","",IF(MONTH(AI26+1)&lt;&gt;MONTH(AI26),"",AI26+1))</f>
        <v>46629</v>
      </c>
      <c r="AD27" s="213">
        <f>IF(AC27="","",IF(MONTH(AC27+1)&lt;&gt;MONTH(AC27),"",AC27+1))</f>
        <v>46630</v>
      </c>
      <c r="AE27" s="228" t="str">
        <f t="shared" si="8"/>
        <v/>
      </c>
      <c r="AF27" s="228" t="str">
        <f t="shared" si="8"/>
        <v/>
      </c>
      <c r="AG27" s="228" t="str">
        <f t="shared" si="8"/>
        <v/>
      </c>
      <c r="AH27" s="228" t="str">
        <f t="shared" si="8"/>
        <v/>
      </c>
      <c r="AI27" s="229" t="str">
        <f t="shared" si="8"/>
        <v/>
      </c>
      <c r="AJ27" s="176"/>
      <c r="AK27" s="244"/>
    </row>
    <row r="28" spans="3:45" ht="35" customHeight="1" thickBot="1">
      <c r="C28" s="244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244"/>
    </row>
    <row r="29" spans="3:45" s="165" customFormat="1" ht="19" thickBot="1">
      <c r="C29" s="247"/>
      <c r="D29" s="393" t="s">
        <v>19</v>
      </c>
      <c r="E29" s="400">
        <f>DATE(YEAR(AC20+42),MONTH(AC20+42),1)</f>
        <v>46631</v>
      </c>
      <c r="F29" s="401"/>
      <c r="G29" s="401"/>
      <c r="H29" s="401"/>
      <c r="I29" s="401"/>
      <c r="J29" s="401"/>
      <c r="K29" s="402"/>
      <c r="L29" s="393" t="s">
        <v>19</v>
      </c>
      <c r="M29" s="400">
        <f>DATE(YEAR(E29+42),MONTH(E29+42),1)</f>
        <v>46661</v>
      </c>
      <c r="N29" s="401"/>
      <c r="O29" s="401"/>
      <c r="P29" s="401"/>
      <c r="Q29" s="401"/>
      <c r="R29" s="401"/>
      <c r="S29" s="402"/>
      <c r="T29" s="393" t="s">
        <v>19</v>
      </c>
      <c r="U29" s="400">
        <f>DATE(YEAR(M29+42),MONTH(M29+42),1)</f>
        <v>46692</v>
      </c>
      <c r="V29" s="401"/>
      <c r="W29" s="401"/>
      <c r="X29" s="401"/>
      <c r="Y29" s="401"/>
      <c r="Z29" s="401"/>
      <c r="AA29" s="402"/>
      <c r="AB29" s="393" t="s">
        <v>19</v>
      </c>
      <c r="AC29" s="400">
        <f>DATE(YEAR(U29+42),MONTH(U29+42),1)</f>
        <v>46722</v>
      </c>
      <c r="AD29" s="401"/>
      <c r="AE29" s="401"/>
      <c r="AF29" s="401"/>
      <c r="AG29" s="401"/>
      <c r="AH29" s="401"/>
      <c r="AI29" s="402"/>
      <c r="AJ29" s="178"/>
      <c r="AK29" s="244"/>
      <c r="AM29" s="157"/>
      <c r="AN29" s="157"/>
      <c r="AO29" s="157"/>
      <c r="AP29" s="157"/>
      <c r="AQ29" s="157"/>
      <c r="AR29" s="157"/>
      <c r="AS29" s="157"/>
    </row>
    <row r="30" spans="3:45" s="166" customFormat="1" ht="25" customHeight="1" thickBot="1">
      <c r="C30" s="248"/>
      <c r="D30" s="393"/>
      <c r="E30" s="216" t="str">
        <f>CHOOSE(1+MOD($T$2+1-2,7),"D","L","M","M","J","V","S")</f>
        <v>L</v>
      </c>
      <c r="F30" s="217" t="str">
        <f>CHOOSE(1+MOD($T$2+2-2,7),"D","L","M","M","J","V","S")</f>
        <v>M</v>
      </c>
      <c r="G30" s="217" t="str">
        <f>CHOOSE(1+MOD($T$2+3-2,7),"D","L","M","M","J","V","S")</f>
        <v>M</v>
      </c>
      <c r="H30" s="217" t="str">
        <f>CHOOSE(1+MOD($T$2+4-2,7),"D","L","M","M","J","V","S")</f>
        <v>J</v>
      </c>
      <c r="I30" s="217" t="str">
        <f>CHOOSE(1+MOD($T$2+5-2,7),"D","L","M","M","J","V","S")</f>
        <v>V</v>
      </c>
      <c r="J30" s="217" t="str">
        <f>CHOOSE(1+MOD($T$2+6-2,7),"D","L","M","M","J","V","S")</f>
        <v>S</v>
      </c>
      <c r="K30" s="218" t="str">
        <f>CHOOSE(1+MOD($T$2+7-2,7),"D","L","M","M","J","V","S")</f>
        <v>D</v>
      </c>
      <c r="L30" s="393"/>
      <c r="M30" s="216" t="str">
        <f>CHOOSE(1+MOD($T$2+1-2,7),"D","L","M","M","J","V","S")</f>
        <v>L</v>
      </c>
      <c r="N30" s="217" t="str">
        <f>CHOOSE(1+MOD($T$2+2-2,7),"D","L","M","M","J","V","S")</f>
        <v>M</v>
      </c>
      <c r="O30" s="217" t="str">
        <f>CHOOSE(1+MOD($T$2+3-2,7),"D","L","M","M","J","V","S")</f>
        <v>M</v>
      </c>
      <c r="P30" s="217" t="str">
        <f>CHOOSE(1+MOD($T$2+4-2,7),"D","L","M","M","J","V","S")</f>
        <v>J</v>
      </c>
      <c r="Q30" s="217" t="str">
        <f>CHOOSE(1+MOD($T$2+5-2,7),"D","L","M","M","J","V","S")</f>
        <v>V</v>
      </c>
      <c r="R30" s="217" t="str">
        <f>CHOOSE(1+MOD($T$2+6-2,7),"D","L","M","M","J","V","S")</f>
        <v>S</v>
      </c>
      <c r="S30" s="218" t="str">
        <f>CHOOSE(1+MOD($T$2+7-2,7),"D","L","M","M","J","V","S")</f>
        <v>D</v>
      </c>
      <c r="T30" s="393"/>
      <c r="U30" s="216" t="str">
        <f>CHOOSE(1+MOD($T$2+1-2,7),"D","L","M","M","J","V","S")</f>
        <v>L</v>
      </c>
      <c r="V30" s="217" t="str">
        <f>CHOOSE(1+MOD($T$2+2-2,7),"D","L","M","M","J","V","S")</f>
        <v>M</v>
      </c>
      <c r="W30" s="217" t="str">
        <f>CHOOSE(1+MOD($T$2+3-2,7),"D","L","M","M","J","V","S")</f>
        <v>M</v>
      </c>
      <c r="X30" s="217" t="str">
        <f>CHOOSE(1+MOD($T$2+4-2,7),"D","L","M","M","J","V","S")</f>
        <v>J</v>
      </c>
      <c r="Y30" s="217" t="str">
        <f>CHOOSE(1+MOD($T$2+5-2,7),"D","L","M","M","J","V","S")</f>
        <v>V</v>
      </c>
      <c r="Z30" s="217" t="str">
        <f>CHOOSE(1+MOD($T$2+6-2,7),"D","L","M","M","J","V","S")</f>
        <v>S</v>
      </c>
      <c r="AA30" s="218" t="str">
        <f>CHOOSE(1+MOD($T$2+7-2,7),"D","L","M","M","J","V","S")</f>
        <v>D</v>
      </c>
      <c r="AB30" s="393"/>
      <c r="AC30" s="216" t="str">
        <f>CHOOSE(1+MOD($T$2+1-2,7),"D","L","M","M","J","V","S")</f>
        <v>L</v>
      </c>
      <c r="AD30" s="217" t="str">
        <f>CHOOSE(1+MOD($T$2+2-2,7),"D","L","M","M","J","V","S")</f>
        <v>M</v>
      </c>
      <c r="AE30" s="217" t="str">
        <f>CHOOSE(1+MOD($T$2+3-2,7),"D","L","M","M","J","V","S")</f>
        <v>M</v>
      </c>
      <c r="AF30" s="217" t="str">
        <f>CHOOSE(1+MOD($T$2+4-2,7),"D","L","M","M","J","V","S")</f>
        <v>J</v>
      </c>
      <c r="AG30" s="217" t="str">
        <f>CHOOSE(1+MOD($T$2+5-2,7),"D","L","M","M","J","V","S")</f>
        <v>V</v>
      </c>
      <c r="AH30" s="217" t="str">
        <f>CHOOSE(1+MOD($T$2+6-2,7),"D","L","M","M","J","V","S")</f>
        <v>S</v>
      </c>
      <c r="AI30" s="218" t="str">
        <f>CHOOSE(1+MOD($T$2+7-2,7),"D","L","M","M","J","V","S")</f>
        <v>D</v>
      </c>
      <c r="AJ30" s="176"/>
      <c r="AK30" s="244"/>
      <c r="AM30" s="157"/>
      <c r="AN30" s="157"/>
      <c r="AO30" s="157"/>
      <c r="AP30" s="157"/>
      <c r="AQ30" s="157"/>
      <c r="AR30" s="157"/>
      <c r="AS30" s="157"/>
    </row>
    <row r="31" spans="3:45" s="167" customFormat="1" ht="16" thickBot="1">
      <c r="C31" s="249"/>
      <c r="D31" s="175">
        <v>4</v>
      </c>
      <c r="E31" s="219" t="str">
        <f>IF(WEEKDAY(E29,1)=MOD($T$2-1,7)+1,E29,"")</f>
        <v/>
      </c>
      <c r="F31" s="220" t="str">
        <f>IF(E31="",IF(WEEKDAY(E29,1)=MOD($T$2,7)+1,E29,""),E31+1)</f>
        <v/>
      </c>
      <c r="G31" s="221">
        <f>IF(F31="",IF(WEEKDAY(E29,1)=MOD($T$2+1,7)+1,E29,""),F31+1)</f>
        <v>46631</v>
      </c>
      <c r="H31" s="221">
        <f>IF(G31="",IF(WEEKDAY(E29,1)=MOD($T$2+2,7)+1,E29,""),G31+1)</f>
        <v>46632</v>
      </c>
      <c r="I31" s="221">
        <f>IF(H31="",IF(WEEKDAY(E29,1)=MOD($T$2+3,7)+1,E29,""),H31+1)</f>
        <v>46633</v>
      </c>
      <c r="J31" s="221">
        <f>IF(I31="",IF(WEEKDAY(E29,1)=MOD($T$2+4,7)+1,E29,""),I31+1)</f>
        <v>46634</v>
      </c>
      <c r="K31" s="222">
        <f>IF(J31="",IF(WEEKDAY(E29,1)=MOD($T$2+5,7)+1,E29,""),J31+1)</f>
        <v>46635</v>
      </c>
      <c r="L31" s="175">
        <v>8</v>
      </c>
      <c r="M31" s="219" t="str">
        <f>IF(WEEKDAY(M29,1)=MOD($T$2-1,7)+1,M29,"")</f>
        <v/>
      </c>
      <c r="N31" s="220" t="str">
        <f>IF(M31="",IF(WEEKDAY(M29,1)=MOD($T$2,7)+1,M29,""),M31+1)</f>
        <v/>
      </c>
      <c r="O31" s="220" t="str">
        <f>IF(N31="",IF(WEEKDAY(M29,1)=MOD($T$2+1,7)+1,M29,""),N31+1)</f>
        <v/>
      </c>
      <c r="P31" s="220" t="str">
        <f>IF(O31="",IF(WEEKDAY(N29,1)=MOD($T$2+1,7)+1,N29,""),O31+1)</f>
        <v/>
      </c>
      <c r="Q31" s="221">
        <f>IF(P31="",IF(WEEKDAY(M29,1)=MOD($T$2+3,7)+1,M29,""),P31+1)</f>
        <v>46661</v>
      </c>
      <c r="R31" s="221">
        <f>IF(Q31="",IF(WEEKDAY(M29,1)=MOD($T$2+4,7)+1,M29,""),Q31+1)</f>
        <v>46662</v>
      </c>
      <c r="S31" s="222">
        <f>IF(R31="",IF(WEEKDAY(M29,1)=MOD($T$2+5,7)+1,M29,""),R31+1)</f>
        <v>46663</v>
      </c>
      <c r="T31" s="175">
        <v>13</v>
      </c>
      <c r="U31" s="237">
        <f>IF(WEEKDAY(U29,1)=MOD($T$2-1,7)+1,U29,"")</f>
        <v>46692</v>
      </c>
      <c r="V31" s="224">
        <f>IF(U31="",IF(WEEKDAY(U29,1)=MOD($T$2,7)+1,U29,""),U31+1)</f>
        <v>46693</v>
      </c>
      <c r="W31" s="224">
        <f>IF(V31="",IF(WEEKDAY(U29,1)=MOD($T$2+1,7)+1,U29,""),V31+1)</f>
        <v>46694</v>
      </c>
      <c r="X31" s="224">
        <f>IF(W31="",IF(WEEKDAY(U29,1)=MOD($T$2+2,7)+1,U29,""),W31+1)</f>
        <v>46695</v>
      </c>
      <c r="Y31" s="224">
        <f>IF(X31="",IF(WEEKDAY(U29,1)=MOD($T$2+3,7)+1,U29,""),X31+1)</f>
        <v>46696</v>
      </c>
      <c r="Z31" s="224">
        <f>IF(Y31="",IF(WEEKDAY(U29,1)=MOD($T$2+4,7)+1,U29,""),Y31+1)</f>
        <v>46697</v>
      </c>
      <c r="AA31" s="222">
        <f>IF(Z31="",IF(WEEKDAY(U29,1)=MOD($T$2+5,7)+1,U29,""),Z31+1)</f>
        <v>46698</v>
      </c>
      <c r="AB31" s="175">
        <v>17</v>
      </c>
      <c r="AC31" s="219" t="str">
        <f>IF(WEEKDAY(AC29,1)=MOD($T$2-1,7)+1,AC29,"")</f>
        <v/>
      </c>
      <c r="AD31" s="221" t="str">
        <f>IF(AC31="",IF(WEEKDAY(AC29,1)=MOD($T$2,7)+1,AC29,""),AC31+1)</f>
        <v/>
      </c>
      <c r="AE31" s="221">
        <f>IF(AD31="",IF(WEEKDAY(AC29,1)=MOD($T$2+1,7)+1,AC29,""),AD31+1)</f>
        <v>46722</v>
      </c>
      <c r="AF31" s="221">
        <f>IF(AE31="",IF(WEEKDAY(AC29,1)=MOD($T$2+2,7)+1,AC29,""),AE31+1)</f>
        <v>46723</v>
      </c>
      <c r="AG31" s="221">
        <f>IF(AF31="",IF(WEEKDAY(AC29,1)=MOD($T$2+3,7)+1,AC29,""),AF31+1)</f>
        <v>46724</v>
      </c>
      <c r="AH31" s="238">
        <f>IF(AG31="",IF(WEEKDAY(AC29,1)=MOD($T$2+4,7)+1,AC29,""),AG31+1)</f>
        <v>46725</v>
      </c>
      <c r="AI31" s="222">
        <f>IF(AH31="",IF(WEEKDAY(AC29,1)=MOD($T$2+5,7)+1,AC29,""),AH31+1)</f>
        <v>46726</v>
      </c>
      <c r="AJ31" s="176"/>
      <c r="AK31" s="244"/>
      <c r="AM31" s="157"/>
      <c r="AN31" s="157"/>
      <c r="AO31" s="157"/>
      <c r="AP31" s="157"/>
      <c r="AQ31" s="157"/>
      <c r="AR31" s="157"/>
      <c r="AS31" s="157"/>
    </row>
    <row r="32" spans="3:45" s="167" customFormat="1" ht="15.5">
      <c r="C32" s="249"/>
      <c r="D32" s="175">
        <v>5</v>
      </c>
      <c r="E32" s="211">
        <f>IF(K31="","",IF(MONTH(K31+1)&lt;&gt;MONTH(K31),"",K31+1))</f>
        <v>46636</v>
      </c>
      <c r="F32" s="181">
        <f>IF(E32="","",IF(MONTH(E32+1)&lt;&gt;MONTH(E32),"",E32+1))</f>
        <v>46637</v>
      </c>
      <c r="G32" s="181">
        <f t="shared" ref="G32:K36" si="11">IF(F32="","",IF(MONTH(F32+1)&lt;&gt;MONTH(F32),"",F32+1))</f>
        <v>46638</v>
      </c>
      <c r="H32" s="181">
        <f t="shared" si="11"/>
        <v>46639</v>
      </c>
      <c r="I32" s="181">
        <f t="shared" si="11"/>
        <v>46640</v>
      </c>
      <c r="J32" s="223">
        <f t="shared" si="11"/>
        <v>46641</v>
      </c>
      <c r="K32" s="209">
        <f t="shared" si="11"/>
        <v>46642</v>
      </c>
      <c r="L32" s="175">
        <v>9</v>
      </c>
      <c r="M32" s="211">
        <f>IF(S31="","",IF(MONTH(S31+1)&lt;&gt;MONTH(S31),"",S31+1))</f>
        <v>46664</v>
      </c>
      <c r="N32" s="181">
        <f>IF(M32="","",IF(MONTH(M32+1)&lt;&gt;MONTH(M32),"",M32+1))</f>
        <v>46665</v>
      </c>
      <c r="O32" s="181">
        <f t="shared" ref="O32:S36" si="12">IF(N32="","",IF(MONTH(N32+1)&lt;&gt;MONTH(N32),"",N32+1))</f>
        <v>46666</v>
      </c>
      <c r="P32" s="181">
        <f t="shared" si="12"/>
        <v>46667</v>
      </c>
      <c r="Q32" s="181">
        <f t="shared" si="12"/>
        <v>46668</v>
      </c>
      <c r="R32" s="181">
        <f t="shared" si="12"/>
        <v>46669</v>
      </c>
      <c r="S32" s="209">
        <f t="shared" si="12"/>
        <v>46670</v>
      </c>
      <c r="T32" s="175">
        <v>14</v>
      </c>
      <c r="U32" s="230">
        <f>IF(AA31="","",IF(MONTH(AA31+1)&lt;&gt;MONTH(AA31),"",AA31+1))</f>
        <v>46699</v>
      </c>
      <c r="V32" s="231">
        <f>IF(U32="","",IF(MONTH(U32+1)&lt;&gt;MONTH(U32),"",U32+1))</f>
        <v>46700</v>
      </c>
      <c r="W32" s="231">
        <f t="shared" ref="W32:AA35" si="13">IF(V32="","",IF(MONTH(V32+1)&lt;&gt;MONTH(V32),"",V32+1))</f>
        <v>46701</v>
      </c>
      <c r="X32" s="231">
        <f t="shared" si="13"/>
        <v>46702</v>
      </c>
      <c r="Y32" s="231">
        <f t="shared" si="13"/>
        <v>46703</v>
      </c>
      <c r="Z32" s="231">
        <f t="shared" si="13"/>
        <v>46704</v>
      </c>
      <c r="AA32" s="209">
        <f t="shared" si="13"/>
        <v>46705</v>
      </c>
      <c r="AB32" s="175">
        <v>18</v>
      </c>
      <c r="AC32" s="239">
        <f>IF(AI31="","",IF(MONTH(AI31+1)&lt;&gt;MONTH(AI31),"",AI31+1))</f>
        <v>46727</v>
      </c>
      <c r="AD32" s="202">
        <f>IF(AC32="","",IF(MONTH(AC32+1)&lt;&gt;MONTH(AC32),"",AC32+1))</f>
        <v>46728</v>
      </c>
      <c r="AE32" s="195">
        <f t="shared" ref="AE32:AI36" si="14">IF(AD32="","",IF(MONTH(AD32+1)&lt;&gt;MONTH(AD32),"",AD32+1))</f>
        <v>46729</v>
      </c>
      <c r="AF32" s="202">
        <f t="shared" si="14"/>
        <v>46730</v>
      </c>
      <c r="AG32" s="202">
        <f t="shared" si="14"/>
        <v>46731</v>
      </c>
      <c r="AH32" s="203">
        <f t="shared" si="14"/>
        <v>46732</v>
      </c>
      <c r="AI32" s="209">
        <f t="shared" si="14"/>
        <v>46733</v>
      </c>
      <c r="AJ32" s="176"/>
      <c r="AK32" s="244"/>
      <c r="AM32" s="157"/>
      <c r="AN32" s="157"/>
      <c r="AO32" s="157"/>
      <c r="AP32" s="157"/>
      <c r="AQ32" s="157"/>
      <c r="AR32" s="157"/>
      <c r="AS32" s="157"/>
    </row>
    <row r="33" spans="3:45" s="167" customFormat="1" ht="16" thickBot="1">
      <c r="C33" s="249"/>
      <c r="D33" s="175">
        <v>6</v>
      </c>
      <c r="E33" s="211">
        <f>IF(K32="","",IF(MONTH(K32+1)&lt;&gt;MONTH(K32),"",K32+1))</f>
        <v>46643</v>
      </c>
      <c r="F33" s="181">
        <f>IF(E33="","",IF(MONTH(E33+1)&lt;&gt;MONTH(E33),"",E33+1))</f>
        <v>46644</v>
      </c>
      <c r="G33" s="181">
        <f t="shared" si="11"/>
        <v>46645</v>
      </c>
      <c r="H33" s="181">
        <f t="shared" si="11"/>
        <v>46646</v>
      </c>
      <c r="I33" s="182">
        <f t="shared" si="11"/>
        <v>46647</v>
      </c>
      <c r="J33" s="182">
        <f t="shared" si="11"/>
        <v>46648</v>
      </c>
      <c r="K33" s="209">
        <f t="shared" si="11"/>
        <v>46649</v>
      </c>
      <c r="L33" s="175">
        <v>10</v>
      </c>
      <c r="M33" s="234">
        <f>IF(S32="","",IF(MONTH(S32+1)&lt;&gt;MONTH(S32),"",S32+1))</f>
        <v>46671</v>
      </c>
      <c r="N33" s="181">
        <f>IF(M33="","",IF(MONTH(M33+1)&lt;&gt;MONTH(M33),"",M33+1))</f>
        <v>46672</v>
      </c>
      <c r="O33" s="181">
        <f t="shared" si="12"/>
        <v>46673</v>
      </c>
      <c r="P33" s="181">
        <f t="shared" si="12"/>
        <v>46674</v>
      </c>
      <c r="Q33" s="181">
        <f t="shared" si="12"/>
        <v>46675</v>
      </c>
      <c r="R33" s="181">
        <f t="shared" si="12"/>
        <v>46676</v>
      </c>
      <c r="S33" s="209">
        <f t="shared" si="12"/>
        <v>46677</v>
      </c>
      <c r="T33" s="175">
        <v>15</v>
      </c>
      <c r="U33" s="211">
        <f>IF(AA32="","",IF(MONTH(AA32+1)&lt;&gt;MONTH(AA32),"",AA32+1))</f>
        <v>46706</v>
      </c>
      <c r="V33" s="181">
        <f>IF(U33="","",IF(MONTH(U33+1)&lt;&gt;MONTH(U33),"",U33+1))</f>
        <v>46707</v>
      </c>
      <c r="W33" s="181">
        <f t="shared" si="13"/>
        <v>46708</v>
      </c>
      <c r="X33" s="181">
        <f t="shared" si="13"/>
        <v>46709</v>
      </c>
      <c r="Y33" s="181">
        <f t="shared" si="13"/>
        <v>46710</v>
      </c>
      <c r="Z33" s="181">
        <f t="shared" si="13"/>
        <v>46711</v>
      </c>
      <c r="AA33" s="209">
        <f t="shared" si="13"/>
        <v>46712</v>
      </c>
      <c r="AB33" s="175">
        <v>19</v>
      </c>
      <c r="AC33" s="240">
        <f>IF(AI32="","",IF(MONTH(AI32+1)&lt;&gt;MONTH(AI32),"",AI32+1))</f>
        <v>46734</v>
      </c>
      <c r="AD33" s="196">
        <f>IF(AC33="","",IF(MONTH(AC33+1)&lt;&gt;MONTH(AC33),"",AC33+1))</f>
        <v>46735</v>
      </c>
      <c r="AE33" s="181">
        <f t="shared" si="14"/>
        <v>46736</v>
      </c>
      <c r="AF33" s="196">
        <f t="shared" si="14"/>
        <v>46737</v>
      </c>
      <c r="AG33" s="196">
        <f t="shared" si="14"/>
        <v>46738</v>
      </c>
      <c r="AH33" s="197">
        <f t="shared" si="14"/>
        <v>46739</v>
      </c>
      <c r="AI33" s="209">
        <f t="shared" si="14"/>
        <v>46740</v>
      </c>
      <c r="AJ33" s="176"/>
      <c r="AK33" s="244"/>
      <c r="AM33" s="157"/>
      <c r="AN33" s="157"/>
      <c r="AO33" s="157"/>
      <c r="AP33" s="157"/>
      <c r="AQ33" s="157"/>
      <c r="AR33" s="157"/>
      <c r="AS33" s="157"/>
    </row>
    <row r="34" spans="3:45" s="167" customFormat="1" ht="16" thickBot="1">
      <c r="C34" s="249"/>
      <c r="D34" s="175">
        <v>7</v>
      </c>
      <c r="E34" s="211">
        <f>IF(K33="","",IF(MONTH(K33+1)&lt;&gt;MONTH(K33),"",K33+1))</f>
        <v>46650</v>
      </c>
      <c r="F34" s="181">
        <f>IF(E34="","",IF(MONTH(E34+1)&lt;&gt;MONTH(E34),"",E34+1))</f>
        <v>46651</v>
      </c>
      <c r="G34" s="181">
        <f t="shared" si="11"/>
        <v>46652</v>
      </c>
      <c r="H34" s="181">
        <f t="shared" si="11"/>
        <v>46653</v>
      </c>
      <c r="I34" s="181">
        <f t="shared" si="11"/>
        <v>46654</v>
      </c>
      <c r="J34" s="181">
        <f t="shared" si="11"/>
        <v>46655</v>
      </c>
      <c r="K34" s="209">
        <f t="shared" si="11"/>
        <v>46656</v>
      </c>
      <c r="L34" s="175">
        <v>11</v>
      </c>
      <c r="M34" s="211">
        <f>IF(S33="","",IF(MONTH(S33+1)&lt;&gt;MONTH(S33),"",S33+1))</f>
        <v>46678</v>
      </c>
      <c r="N34" s="181">
        <f>IF(M34="","",IF(MONTH(M34+1)&lt;&gt;MONTH(M34),"",M34+1))</f>
        <v>46679</v>
      </c>
      <c r="O34" s="181">
        <f t="shared" si="12"/>
        <v>46680</v>
      </c>
      <c r="P34" s="181">
        <f t="shared" si="12"/>
        <v>46681</v>
      </c>
      <c r="Q34" s="181">
        <f t="shared" si="12"/>
        <v>46682</v>
      </c>
      <c r="R34" s="181">
        <f t="shared" si="12"/>
        <v>46683</v>
      </c>
      <c r="S34" s="209">
        <f t="shared" si="12"/>
        <v>46684</v>
      </c>
      <c r="T34" s="175">
        <v>16</v>
      </c>
      <c r="U34" s="211">
        <f>IF(AA33="","",IF(MONTH(AA33+1)&lt;&gt;MONTH(AA33),"",AA33+1))</f>
        <v>46713</v>
      </c>
      <c r="V34" s="181">
        <f>IF(U34="","",IF(MONTH(U34+1)&lt;&gt;MONTH(U34),"",U34+1))</f>
        <v>46714</v>
      </c>
      <c r="W34" s="181">
        <f t="shared" si="13"/>
        <v>46715</v>
      </c>
      <c r="X34" s="181">
        <f t="shared" si="13"/>
        <v>46716</v>
      </c>
      <c r="Y34" s="181">
        <f t="shared" si="13"/>
        <v>46717</v>
      </c>
      <c r="Z34" s="181">
        <f t="shared" si="13"/>
        <v>46718</v>
      </c>
      <c r="AA34" s="209">
        <f t="shared" si="13"/>
        <v>46719</v>
      </c>
      <c r="AB34" s="175">
        <v>20</v>
      </c>
      <c r="AC34" s="241">
        <f>IF(AI33="","",IF(MONTH(AI33+1)&lt;&gt;MONTH(AI33),"",AI33+1))</f>
        <v>46741</v>
      </c>
      <c r="AD34" s="200">
        <f>IF(AC34="","",IF(MONTH(AC34+1)&lt;&gt;MONTH(AC34),"",AC34+1))</f>
        <v>46742</v>
      </c>
      <c r="AE34" s="201">
        <f t="shared" si="14"/>
        <v>46743</v>
      </c>
      <c r="AF34" s="180">
        <f t="shared" si="14"/>
        <v>46744</v>
      </c>
      <c r="AG34" s="180">
        <f t="shared" si="14"/>
        <v>46745</v>
      </c>
      <c r="AH34" s="182">
        <f t="shared" si="14"/>
        <v>46746</v>
      </c>
      <c r="AI34" s="209">
        <f t="shared" si="14"/>
        <v>46747</v>
      </c>
      <c r="AJ34" s="176"/>
      <c r="AK34" s="244"/>
      <c r="AM34" s="157"/>
      <c r="AN34" s="157"/>
      <c r="AO34" s="157"/>
      <c r="AP34" s="157"/>
      <c r="AQ34" s="157"/>
      <c r="AR34" s="157"/>
      <c r="AS34" s="157"/>
    </row>
    <row r="35" spans="3:45" s="167" customFormat="1" ht="16" thickBot="1">
      <c r="C35" s="249"/>
      <c r="D35" s="175">
        <v>8</v>
      </c>
      <c r="E35" s="212">
        <f>IF(K34="","",IF(MONTH(K34+1)&lt;&gt;MONTH(K34),"",K34+1))</f>
        <v>46657</v>
      </c>
      <c r="F35" s="213">
        <f>IF(E35="","",IF(MONTH(E35+1)&lt;&gt;MONTH(E35),"",E35+1))</f>
        <v>46658</v>
      </c>
      <c r="G35" s="213">
        <f t="shared" si="11"/>
        <v>46659</v>
      </c>
      <c r="H35" s="213">
        <f t="shared" si="11"/>
        <v>46660</v>
      </c>
      <c r="I35" s="228" t="str">
        <f t="shared" si="11"/>
        <v/>
      </c>
      <c r="J35" s="228" t="str">
        <f t="shared" si="11"/>
        <v/>
      </c>
      <c r="K35" s="229" t="str">
        <f t="shared" si="11"/>
        <v/>
      </c>
      <c r="L35" s="175">
        <v>12</v>
      </c>
      <c r="M35" s="235">
        <f>IF(S34="","",IF(MONTH(S34+1)&lt;&gt;MONTH(S34),"",S34+1))</f>
        <v>46685</v>
      </c>
      <c r="N35" s="236">
        <f>IF(M35="","",IF(MONTH(M35+1)&lt;&gt;MONTH(M35),"",M35+1))</f>
        <v>46686</v>
      </c>
      <c r="O35" s="236">
        <f t="shared" si="12"/>
        <v>46687</v>
      </c>
      <c r="P35" s="236">
        <f t="shared" si="12"/>
        <v>46688</v>
      </c>
      <c r="Q35" s="236">
        <f t="shared" si="12"/>
        <v>46689</v>
      </c>
      <c r="R35" s="236">
        <f t="shared" si="12"/>
        <v>46690</v>
      </c>
      <c r="S35" s="214">
        <f t="shared" si="12"/>
        <v>46691</v>
      </c>
      <c r="T35" s="175">
        <v>17</v>
      </c>
      <c r="U35" s="212">
        <f>IF(AA34="","",IF(MONTH(AA34+1)&lt;&gt;MONTH(AA34),"",AA34+1))</f>
        <v>46720</v>
      </c>
      <c r="V35" s="213">
        <f>IF(U35="","",IF(MONTH(U35+1)&lt;&gt;MONTH(U35),"",U35+1))</f>
        <v>46721</v>
      </c>
      <c r="W35" s="228" t="str">
        <f t="shared" si="13"/>
        <v/>
      </c>
      <c r="X35" s="228" t="str">
        <f t="shared" si="13"/>
        <v/>
      </c>
      <c r="Y35" s="228" t="str">
        <f t="shared" si="13"/>
        <v/>
      </c>
      <c r="Z35" s="228" t="str">
        <f t="shared" si="13"/>
        <v/>
      </c>
      <c r="AA35" s="229" t="str">
        <f t="shared" si="13"/>
        <v/>
      </c>
      <c r="AB35" s="173"/>
      <c r="AC35" s="242">
        <f>IF(AI34="","",IF(MONTH(AI34+1)&lt;&gt;MONTH(AI34),"",AI34+1))</f>
        <v>46748</v>
      </c>
      <c r="AD35" s="243">
        <f>IF(AC35="","",IF(MONTH(AC35+1)&lt;&gt;MONTH(AC35),"",AC35+1))</f>
        <v>46749</v>
      </c>
      <c r="AE35" s="243">
        <f t="shared" si="14"/>
        <v>46750</v>
      </c>
      <c r="AF35" s="228">
        <f t="shared" si="14"/>
        <v>46751</v>
      </c>
      <c r="AG35" s="228">
        <f t="shared" si="14"/>
        <v>46752</v>
      </c>
      <c r="AH35" s="228" t="str">
        <f t="shared" si="14"/>
        <v/>
      </c>
      <c r="AI35" s="229" t="str">
        <f t="shared" si="14"/>
        <v/>
      </c>
      <c r="AJ35" s="176"/>
      <c r="AK35" s="244"/>
      <c r="AM35" s="157"/>
      <c r="AN35" s="157"/>
      <c r="AO35" s="157"/>
      <c r="AP35" s="157"/>
      <c r="AQ35" s="157"/>
      <c r="AR35" s="157"/>
      <c r="AS35" s="157"/>
    </row>
    <row r="36" spans="3:45" s="167" customFormat="1" ht="15.5">
      <c r="C36" s="249"/>
      <c r="D36" s="174"/>
      <c r="E36" s="179" t="str">
        <f>IF(K35="","",IF(MONTH(K35+1)&lt;&gt;MONTH(K35),"",K35+1))</f>
        <v/>
      </c>
      <c r="F36" s="179" t="str">
        <f>IF(E36="","",IF(MONTH(E36+1)&lt;&gt;MONTH(E36),"",E36+1))</f>
        <v/>
      </c>
      <c r="G36" s="179" t="str">
        <f t="shared" si="11"/>
        <v/>
      </c>
      <c r="H36" s="179" t="str">
        <f t="shared" si="11"/>
        <v/>
      </c>
      <c r="I36" s="179" t="str">
        <f t="shared" si="11"/>
        <v/>
      </c>
      <c r="J36" s="179" t="str">
        <f t="shared" si="11"/>
        <v/>
      </c>
      <c r="K36" s="179" t="str">
        <f t="shared" si="11"/>
        <v/>
      </c>
      <c r="L36" s="173"/>
      <c r="M36" s="179" t="str">
        <f>IF(S35="","",IF(MONTH(S35+1)&lt;&gt;MONTH(S35),"",S35+1))</f>
        <v/>
      </c>
      <c r="N36" s="179" t="str">
        <f>IF(M36="","",IF(MONTH(M36+1)&lt;&gt;MONTH(M36),"",M36+1))</f>
        <v/>
      </c>
      <c r="O36" s="179" t="str">
        <f t="shared" si="12"/>
        <v/>
      </c>
      <c r="P36" s="179" t="str">
        <f t="shared" si="12"/>
        <v/>
      </c>
      <c r="Q36" s="179" t="str">
        <f t="shared" si="12"/>
        <v/>
      </c>
      <c r="R36" s="179" t="str">
        <f t="shared" si="12"/>
        <v/>
      </c>
      <c r="S36" s="179" t="str">
        <f t="shared" si="12"/>
        <v/>
      </c>
      <c r="T36" s="175"/>
      <c r="U36" s="173"/>
      <c r="V36" s="173"/>
      <c r="W36" s="173"/>
      <c r="X36" s="173"/>
      <c r="Y36" s="173"/>
      <c r="Z36" s="173"/>
      <c r="AA36" s="173"/>
      <c r="AB36" s="173"/>
      <c r="AC36" s="179" t="str">
        <f>IF(AI35="","",IF(MONTH(AI35+1)&lt;&gt;MONTH(AI35),"",AI35+1))</f>
        <v/>
      </c>
      <c r="AD36" s="179" t="str">
        <f>IF(AC36="","",IF(MONTH(AC36+1)&lt;&gt;MONTH(AC36),"",AC36+1))</f>
        <v/>
      </c>
      <c r="AE36" s="179" t="str">
        <f t="shared" si="14"/>
        <v/>
      </c>
      <c r="AF36" s="179" t="str">
        <f t="shared" si="14"/>
        <v/>
      </c>
      <c r="AG36" s="179" t="str">
        <f t="shared" si="14"/>
        <v/>
      </c>
      <c r="AH36" s="179" t="str">
        <f t="shared" si="14"/>
        <v/>
      </c>
      <c r="AI36" s="179" t="str">
        <f t="shared" si="14"/>
        <v/>
      </c>
      <c r="AJ36" s="176"/>
      <c r="AK36" s="244"/>
      <c r="AM36" s="157"/>
      <c r="AN36" s="157"/>
      <c r="AO36" s="157"/>
      <c r="AP36" s="157"/>
    </row>
    <row r="37" spans="3:45" ht="15.5">
      <c r="C37" s="244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244"/>
      <c r="AN37" s="167"/>
      <c r="AO37" s="167"/>
      <c r="AP37" s="167"/>
    </row>
    <row r="38" spans="3:45">
      <c r="C38" s="244"/>
      <c r="D38" s="156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244"/>
    </row>
    <row r="39" spans="3:45" ht="16.5" customHeight="1">
      <c r="C39" s="244"/>
      <c r="D39" s="156"/>
      <c r="E39" s="408" t="s">
        <v>26</v>
      </c>
      <c r="F39" s="408"/>
      <c r="G39" s="408"/>
      <c r="H39" s="408"/>
      <c r="I39" s="408"/>
      <c r="J39" s="408"/>
      <c r="K39" s="408"/>
      <c r="L39" s="170"/>
      <c r="M39" s="416" t="s">
        <v>21</v>
      </c>
      <c r="N39" s="416"/>
      <c r="O39" s="416"/>
      <c r="P39" s="416"/>
      <c r="Q39" s="416"/>
      <c r="R39" s="416"/>
      <c r="S39" s="416"/>
      <c r="T39" s="171"/>
      <c r="U39" s="418" t="s">
        <v>103</v>
      </c>
      <c r="V39" s="418"/>
      <c r="W39" s="418"/>
      <c r="X39" s="418"/>
      <c r="Y39" s="418"/>
      <c r="Z39" s="418"/>
      <c r="AA39" s="418"/>
      <c r="AB39" s="171"/>
      <c r="AC39" s="417" t="s">
        <v>24</v>
      </c>
      <c r="AD39" s="417"/>
      <c r="AE39" s="417"/>
      <c r="AF39" s="417"/>
      <c r="AG39" s="417"/>
      <c r="AH39" s="417"/>
      <c r="AI39" s="417"/>
      <c r="AJ39" s="156"/>
      <c r="AK39" s="244"/>
    </row>
    <row r="40" spans="3:45" ht="11.5" customHeight="1" thickBot="1">
      <c r="C40" s="244"/>
      <c r="D40" s="156"/>
      <c r="E40" s="172"/>
      <c r="F40" s="172"/>
      <c r="G40" s="172"/>
      <c r="H40" s="172"/>
      <c r="I40" s="172"/>
      <c r="J40" s="172"/>
      <c r="K40" s="172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246"/>
      <c r="AL40" s="31"/>
    </row>
    <row r="41" spans="3:45" ht="17.5" customHeight="1" thickBot="1">
      <c r="C41" s="244"/>
      <c r="D41" s="156"/>
      <c r="E41" s="412" t="s">
        <v>22</v>
      </c>
      <c r="F41" s="412"/>
      <c r="G41" s="412"/>
      <c r="H41" s="412"/>
      <c r="I41" s="412"/>
      <c r="J41" s="412"/>
      <c r="K41" s="412"/>
      <c r="L41" s="170"/>
      <c r="M41" s="413" t="s">
        <v>23</v>
      </c>
      <c r="N41" s="414"/>
      <c r="O41" s="414"/>
      <c r="P41" s="414"/>
      <c r="Q41" s="414"/>
      <c r="R41" s="414"/>
      <c r="S41" s="415"/>
      <c r="T41" s="156"/>
      <c r="U41" s="409" t="s">
        <v>90</v>
      </c>
      <c r="V41" s="410"/>
      <c r="W41" s="410"/>
      <c r="X41" s="410"/>
      <c r="Y41" s="410"/>
      <c r="Z41" s="410"/>
      <c r="AA41" s="411"/>
      <c r="AB41" s="156"/>
      <c r="AC41" s="405" t="s">
        <v>25</v>
      </c>
      <c r="AD41" s="406"/>
      <c r="AE41" s="406"/>
      <c r="AF41" s="406"/>
      <c r="AG41" s="406"/>
      <c r="AH41" s="406"/>
      <c r="AI41" s="407"/>
      <c r="AJ41" s="156"/>
      <c r="AK41" s="244"/>
    </row>
    <row r="42" spans="3:45" ht="6" customHeight="1">
      <c r="C42" s="244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244"/>
    </row>
    <row r="43" spans="3:45"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</row>
    <row r="44" spans="3:45" ht="2.5" customHeight="1"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</row>
  </sheetData>
  <mergeCells count="36">
    <mergeCell ref="U20:AA20"/>
    <mergeCell ref="AB20:AB21"/>
    <mergeCell ref="AC20:AI20"/>
    <mergeCell ref="AC41:AI41"/>
    <mergeCell ref="E39:K39"/>
    <mergeCell ref="U41:AA41"/>
    <mergeCell ref="E29:K29"/>
    <mergeCell ref="M29:S29"/>
    <mergeCell ref="U29:AA29"/>
    <mergeCell ref="AC29:AI29"/>
    <mergeCell ref="E41:K41"/>
    <mergeCell ref="M41:S41"/>
    <mergeCell ref="M39:S39"/>
    <mergeCell ref="AC39:AI39"/>
    <mergeCell ref="U39:AA39"/>
    <mergeCell ref="D20:D21"/>
    <mergeCell ref="E20:K20"/>
    <mergeCell ref="L20:L21"/>
    <mergeCell ref="M20:S20"/>
    <mergeCell ref="T20:T21"/>
    <mergeCell ref="D29:D30"/>
    <mergeCell ref="L29:L30"/>
    <mergeCell ref="T29:T30"/>
    <mergeCell ref="AB29:AB30"/>
    <mergeCell ref="G2:I2"/>
    <mergeCell ref="M2:O2"/>
    <mergeCell ref="T2:V2"/>
    <mergeCell ref="D9:D10"/>
    <mergeCell ref="E9:K9"/>
    <mergeCell ref="L9:L10"/>
    <mergeCell ref="M9:S9"/>
    <mergeCell ref="T9:T10"/>
    <mergeCell ref="U9:AA9"/>
    <mergeCell ref="D5:AJ7"/>
    <mergeCell ref="AB9:AB10"/>
    <mergeCell ref="AC9:AI9"/>
  </mergeCells>
  <dataValidations count="4">
    <dataValidation allowBlank="1" showInputMessage="1" showErrorMessage="1" prompt="Seleccione el día de inicio en esta celda. Escriba 1 para domingo, 2 para lunes, etc." sqref="T2:V2" xr:uid="{65C62FF3-6131-4A31-A4CD-D930ACB987C1}"/>
    <dataValidation allowBlank="1" showInputMessage="1" showErrorMessage="1" prompt="Escriba el mes inicial en esta celda." sqref="M2:O2" xr:uid="{64737DEC-1EB6-4F02-B87F-A3E841A9F970}"/>
    <dataValidation allowBlank="1" showInputMessage="1" showErrorMessage="1" prompt="Escriba el año inicial en esta celda" sqref="G2:I2" xr:uid="{7C99DA85-AF9D-42D5-9648-2DD91B9B435B}"/>
    <dataValidation allowBlank="1" showInputMessage="1" showErrorMessage="1" prompt="Escriba el año en la celda E2 y el mes inicial en la K2. Cambie el día inicial de la semana en la celda R2._x000a__x000a_EL calendario empieza en enero en C7. Los días de la semana y las fechas de cada mes actualizan los valores basados en E2, K2 y R2." sqref="C1" xr:uid="{3272D265-3AAC-4D74-BBA2-0766931442F0}"/>
  </dataValidations>
  <printOptions horizontalCentered="1" verticalCentered="1"/>
  <pageMargins left="0.23622047244094491" right="0.23622047244094491" top="0.15748031496062992" bottom="0.15748031496062992" header="0.31496062992125984" footer="0.31496062992125984"/>
  <pageSetup scale="89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381</vt:i4>
      </vt:variant>
    </vt:vector>
  </HeadingPairs>
  <TitlesOfParts>
    <vt:vector size="385" baseType="lpstr">
      <vt:lpstr>CA Gráfico 2025</vt:lpstr>
      <vt:lpstr>CA Procesos</vt:lpstr>
      <vt:lpstr>CA Cronológico</vt:lpstr>
      <vt:lpstr>CA Gráfico 2027</vt:lpstr>
      <vt:lpstr>'CA Cronológico'!Área_de_impresión</vt:lpstr>
      <vt:lpstr>'CA Gráfico 2025'!Área_de_impresión</vt:lpstr>
      <vt:lpstr>'CA Gráfico 2027'!Área_de_impresión</vt:lpstr>
      <vt:lpstr>'CA Procesos'!Área_de_impresión</vt:lpstr>
      <vt:lpstr>'CA Gráfico 2025'!Fecha__2025_01_01_WinCalendar</vt:lpstr>
      <vt:lpstr>'CA Gráfico 2025'!Fecha__2025_01_02_WinCalendar</vt:lpstr>
      <vt:lpstr>'CA Gráfico 2025'!Fecha__2025_01_03_WinCalendar</vt:lpstr>
      <vt:lpstr>'CA Gráfico 2025'!Fecha__2025_01_04_WinCalendar</vt:lpstr>
      <vt:lpstr>'CA Gráfico 2025'!Fecha__2025_01_05_WinCalendar</vt:lpstr>
      <vt:lpstr>'CA Gráfico 2025'!Fecha__2025_01_06_WinCalendar</vt:lpstr>
      <vt:lpstr>'CA Gráfico 2025'!Fecha__2025_01_07_WinCalendar</vt:lpstr>
      <vt:lpstr>'CA Gráfico 2025'!Fecha__2025_01_08_WinCalendar</vt:lpstr>
      <vt:lpstr>'CA Gráfico 2025'!Fecha__2025_01_09_WinCalendar</vt:lpstr>
      <vt:lpstr>'CA Gráfico 2025'!Fecha__2025_01_10_WinCalendar</vt:lpstr>
      <vt:lpstr>'CA Gráfico 2025'!Fecha__2025_01_11_WinCalendar</vt:lpstr>
      <vt:lpstr>'CA Gráfico 2025'!Fecha__2025_01_12_WinCalendar</vt:lpstr>
      <vt:lpstr>'CA Gráfico 2025'!Fecha__2025_01_13_WinCalendar</vt:lpstr>
      <vt:lpstr>'CA Gráfico 2025'!Fecha__2025_01_14_WinCalendar</vt:lpstr>
      <vt:lpstr>'CA Gráfico 2025'!Fecha__2025_01_15_WinCalendar</vt:lpstr>
      <vt:lpstr>'CA Gráfico 2025'!Fecha__2025_01_16_WinCalendar</vt:lpstr>
      <vt:lpstr>'CA Gráfico 2025'!Fecha__2025_01_17_WinCalendar</vt:lpstr>
      <vt:lpstr>'CA Gráfico 2025'!Fecha__2025_01_18_WinCalendar</vt:lpstr>
      <vt:lpstr>'CA Gráfico 2025'!Fecha__2025_01_19_WinCalendar</vt:lpstr>
      <vt:lpstr>'CA Gráfico 2025'!Fecha__2025_01_20_WinCalendar</vt:lpstr>
      <vt:lpstr>'CA Gráfico 2025'!Fecha__2025_01_21_WinCalendar</vt:lpstr>
      <vt:lpstr>'CA Gráfico 2025'!Fecha__2025_01_22_WinCalendar</vt:lpstr>
      <vt:lpstr>'CA Gráfico 2025'!Fecha__2025_01_23_WinCalendar</vt:lpstr>
      <vt:lpstr>'CA Gráfico 2025'!Fecha__2025_01_24_WinCalendar</vt:lpstr>
      <vt:lpstr>'CA Gráfico 2025'!Fecha__2025_01_25_WinCalendar</vt:lpstr>
      <vt:lpstr>'CA Gráfico 2025'!Fecha__2025_01_26_WinCalendar</vt:lpstr>
      <vt:lpstr>'CA Gráfico 2025'!Fecha__2025_01_27_WinCalendar</vt:lpstr>
      <vt:lpstr>'CA Gráfico 2025'!Fecha__2025_01_28_WinCalendar</vt:lpstr>
      <vt:lpstr>'CA Gráfico 2025'!Fecha__2025_01_29_WinCalendar</vt:lpstr>
      <vt:lpstr>'CA Gráfico 2025'!Fecha__2025_01_30_WinCalendar</vt:lpstr>
      <vt:lpstr>'CA Gráfico 2025'!Fecha__2025_01_31_WinCalendar</vt:lpstr>
      <vt:lpstr>'CA Gráfico 2025'!Fecha__2025_02_01_WinCalendar</vt:lpstr>
      <vt:lpstr>'CA Gráfico 2025'!Fecha__2025_02_02_WinCalendar</vt:lpstr>
      <vt:lpstr>'CA Gráfico 2025'!Fecha__2025_02_03_WinCalendar</vt:lpstr>
      <vt:lpstr>'CA Gráfico 2025'!Fecha__2025_02_04_WinCalendar</vt:lpstr>
      <vt:lpstr>'CA Gráfico 2025'!Fecha__2025_02_05_WinCalendar</vt:lpstr>
      <vt:lpstr>'CA Gráfico 2025'!Fecha__2025_02_06_WinCalendar</vt:lpstr>
      <vt:lpstr>'CA Gráfico 2025'!Fecha__2025_02_07_WinCalendar</vt:lpstr>
      <vt:lpstr>'CA Gráfico 2025'!Fecha__2025_02_08_WinCalendar</vt:lpstr>
      <vt:lpstr>'CA Gráfico 2025'!Fecha__2025_02_09_WinCalendar</vt:lpstr>
      <vt:lpstr>'CA Gráfico 2025'!Fecha__2025_02_10_WinCalendar</vt:lpstr>
      <vt:lpstr>'CA Gráfico 2025'!Fecha__2025_02_11_WinCalendar</vt:lpstr>
      <vt:lpstr>'CA Gráfico 2025'!Fecha__2025_02_12_WinCalendar</vt:lpstr>
      <vt:lpstr>'CA Gráfico 2025'!Fecha__2025_02_13_WinCalendar</vt:lpstr>
      <vt:lpstr>'CA Gráfico 2025'!Fecha__2025_02_14_WinCalendar</vt:lpstr>
      <vt:lpstr>'CA Gráfico 2025'!Fecha__2025_02_15_WinCalendar</vt:lpstr>
      <vt:lpstr>'CA Gráfico 2025'!Fecha__2025_02_16_WinCalendar</vt:lpstr>
      <vt:lpstr>'CA Gráfico 2025'!Fecha__2025_02_17_WinCalendar</vt:lpstr>
      <vt:lpstr>'CA Gráfico 2025'!Fecha__2025_02_18_WinCalendar</vt:lpstr>
      <vt:lpstr>'CA Gráfico 2025'!Fecha__2025_02_19_WinCalendar</vt:lpstr>
      <vt:lpstr>'CA Gráfico 2025'!Fecha__2025_02_20_WinCalendar</vt:lpstr>
      <vt:lpstr>'CA Gráfico 2025'!Fecha__2025_02_21_WinCalendar</vt:lpstr>
      <vt:lpstr>'CA Gráfico 2025'!Fecha__2025_02_22_WinCalendar</vt:lpstr>
      <vt:lpstr>'CA Gráfico 2025'!Fecha__2025_02_23_WinCalendar</vt:lpstr>
      <vt:lpstr>'CA Gráfico 2025'!Fecha__2025_02_24_WinCalendar</vt:lpstr>
      <vt:lpstr>'CA Gráfico 2025'!Fecha__2025_02_25_WinCalendar</vt:lpstr>
      <vt:lpstr>'CA Gráfico 2025'!Fecha__2025_02_26_WinCalendar</vt:lpstr>
      <vt:lpstr>'CA Gráfico 2025'!Fecha__2025_02_27_WinCalendar</vt:lpstr>
      <vt:lpstr>'CA Gráfico 2025'!Fecha__2025_02_28_WinCalendar</vt:lpstr>
      <vt:lpstr>'CA Gráfico 2025'!Fecha__2025_03_01_WinCalendar</vt:lpstr>
      <vt:lpstr>'CA Gráfico 2025'!Fecha__2025_03_02_WinCalendar</vt:lpstr>
      <vt:lpstr>'CA Gráfico 2025'!Fecha__2025_03_03_WinCalendar</vt:lpstr>
      <vt:lpstr>'CA Gráfico 2025'!Fecha__2025_03_04_WinCalendar</vt:lpstr>
      <vt:lpstr>'CA Gráfico 2025'!Fecha__2025_03_05_WinCalendar</vt:lpstr>
      <vt:lpstr>'CA Gráfico 2025'!Fecha__2025_03_06_WinCalendar</vt:lpstr>
      <vt:lpstr>'CA Gráfico 2025'!Fecha__2025_03_07_WinCalendar</vt:lpstr>
      <vt:lpstr>'CA Gráfico 2025'!Fecha__2025_03_08_WinCalendar</vt:lpstr>
      <vt:lpstr>'CA Gráfico 2025'!Fecha__2025_03_09_WinCalendar</vt:lpstr>
      <vt:lpstr>'CA Gráfico 2025'!Fecha__2025_03_10_WinCalendar</vt:lpstr>
      <vt:lpstr>'CA Gráfico 2025'!Fecha__2025_03_11_WinCalendar</vt:lpstr>
      <vt:lpstr>'CA Gráfico 2025'!Fecha__2025_03_12_WinCalendar</vt:lpstr>
      <vt:lpstr>'CA Gráfico 2025'!Fecha__2025_03_13_WinCalendar</vt:lpstr>
      <vt:lpstr>'CA Gráfico 2025'!Fecha__2025_03_14_WinCalendar</vt:lpstr>
      <vt:lpstr>'CA Gráfico 2025'!Fecha__2025_03_15_WinCalendar</vt:lpstr>
      <vt:lpstr>'CA Gráfico 2025'!Fecha__2025_03_16_WinCalendar</vt:lpstr>
      <vt:lpstr>'CA Gráfico 2025'!Fecha__2025_03_17_WinCalendar</vt:lpstr>
      <vt:lpstr>'CA Gráfico 2025'!Fecha__2025_03_18_WinCalendar</vt:lpstr>
      <vt:lpstr>'CA Gráfico 2025'!Fecha__2025_03_19_WinCalendar</vt:lpstr>
      <vt:lpstr>'CA Gráfico 2025'!Fecha__2025_03_20_WinCalendar</vt:lpstr>
      <vt:lpstr>'CA Gráfico 2025'!Fecha__2025_03_21_WinCalendar</vt:lpstr>
      <vt:lpstr>'CA Gráfico 2025'!Fecha__2025_03_22_WinCalendar</vt:lpstr>
      <vt:lpstr>'CA Gráfico 2025'!Fecha__2025_03_23_WinCalendar</vt:lpstr>
      <vt:lpstr>'CA Gráfico 2025'!Fecha__2025_03_24_WinCalendar</vt:lpstr>
      <vt:lpstr>'CA Gráfico 2025'!Fecha__2025_03_25_WinCalendar</vt:lpstr>
      <vt:lpstr>'CA Gráfico 2025'!Fecha__2025_03_26_WinCalendar</vt:lpstr>
      <vt:lpstr>'CA Gráfico 2025'!Fecha__2025_03_27_WinCalendar</vt:lpstr>
      <vt:lpstr>'CA Gráfico 2025'!Fecha__2025_03_28_WinCalendar</vt:lpstr>
      <vt:lpstr>'CA Gráfico 2025'!Fecha__2025_03_29_WinCalendar</vt:lpstr>
      <vt:lpstr>'CA Gráfico 2025'!Fecha__2025_03_30_WinCalendar</vt:lpstr>
      <vt:lpstr>'CA Gráfico 2025'!Fecha__2025_03_31_WinCalendar</vt:lpstr>
      <vt:lpstr>'CA Gráfico 2025'!Fecha__2025_04_01_WinCalendar</vt:lpstr>
      <vt:lpstr>'CA Gráfico 2025'!Fecha__2025_04_02_WinCalendar</vt:lpstr>
      <vt:lpstr>'CA Gráfico 2025'!Fecha__2025_04_03_WinCalendar</vt:lpstr>
      <vt:lpstr>'CA Gráfico 2025'!Fecha__2025_04_04_WinCalendar</vt:lpstr>
      <vt:lpstr>'CA Gráfico 2025'!Fecha__2025_04_05_WinCalendar</vt:lpstr>
      <vt:lpstr>'CA Gráfico 2025'!Fecha__2025_04_06_WinCalendar</vt:lpstr>
      <vt:lpstr>'CA Gráfico 2025'!Fecha__2025_04_07_WinCalendar</vt:lpstr>
      <vt:lpstr>'CA Gráfico 2025'!Fecha__2025_04_08_WinCalendar</vt:lpstr>
      <vt:lpstr>'CA Gráfico 2025'!Fecha__2025_04_09_WinCalendar</vt:lpstr>
      <vt:lpstr>'CA Gráfico 2025'!Fecha__2025_04_10_WinCalendar</vt:lpstr>
      <vt:lpstr>'CA Gráfico 2025'!Fecha__2025_04_11_WinCalendar</vt:lpstr>
      <vt:lpstr>'CA Gráfico 2025'!Fecha__2025_04_12_WinCalendar</vt:lpstr>
      <vt:lpstr>'CA Gráfico 2025'!Fecha__2025_04_13_WinCalendar</vt:lpstr>
      <vt:lpstr>'CA Gráfico 2025'!Fecha__2025_04_14_WinCalendar</vt:lpstr>
      <vt:lpstr>'CA Gráfico 2025'!Fecha__2025_04_15_WinCalendar</vt:lpstr>
      <vt:lpstr>'CA Gráfico 2025'!Fecha__2025_04_16_WinCalendar</vt:lpstr>
      <vt:lpstr>'CA Gráfico 2025'!Fecha__2025_04_17_WinCalendar</vt:lpstr>
      <vt:lpstr>'CA Gráfico 2025'!Fecha__2025_04_18_WinCalendar</vt:lpstr>
      <vt:lpstr>'CA Gráfico 2025'!Fecha__2025_04_19_WinCalendar</vt:lpstr>
      <vt:lpstr>'CA Gráfico 2025'!Fecha__2025_04_20_WinCalendar</vt:lpstr>
      <vt:lpstr>'CA Gráfico 2025'!Fecha__2025_04_21_WinCalendar</vt:lpstr>
      <vt:lpstr>'CA Gráfico 2025'!Fecha__2025_04_22_WinCalendar</vt:lpstr>
      <vt:lpstr>'CA Gráfico 2025'!Fecha__2025_04_23_WinCalendar</vt:lpstr>
      <vt:lpstr>'CA Gráfico 2025'!Fecha__2025_04_24_WinCalendar</vt:lpstr>
      <vt:lpstr>'CA Gráfico 2025'!Fecha__2025_04_25_WinCalendar</vt:lpstr>
      <vt:lpstr>'CA Gráfico 2025'!Fecha__2025_04_26_WinCalendar</vt:lpstr>
      <vt:lpstr>'CA Gráfico 2025'!Fecha__2025_04_27_WinCalendar</vt:lpstr>
      <vt:lpstr>'CA Gráfico 2025'!Fecha__2025_04_28_WinCalendar</vt:lpstr>
      <vt:lpstr>'CA Gráfico 2025'!Fecha__2025_04_29_WinCalendar</vt:lpstr>
      <vt:lpstr>'CA Gráfico 2025'!Fecha__2025_04_30_WinCalendar</vt:lpstr>
      <vt:lpstr>'CA Gráfico 2025'!Fecha__2025_05_01_WinCalendar</vt:lpstr>
      <vt:lpstr>'CA Gráfico 2025'!Fecha__2025_05_02_WinCalendar</vt:lpstr>
      <vt:lpstr>'CA Gráfico 2025'!Fecha__2025_05_03_WinCalendar</vt:lpstr>
      <vt:lpstr>'CA Gráfico 2025'!Fecha__2025_05_04_WinCalendar</vt:lpstr>
      <vt:lpstr>'CA Gráfico 2025'!Fecha__2025_05_05_WinCalendar</vt:lpstr>
      <vt:lpstr>'CA Gráfico 2025'!Fecha__2025_05_06_WinCalendar</vt:lpstr>
      <vt:lpstr>'CA Gráfico 2025'!Fecha__2025_05_07_WinCalendar</vt:lpstr>
      <vt:lpstr>'CA Gráfico 2025'!Fecha__2025_05_08_WinCalendar</vt:lpstr>
      <vt:lpstr>'CA Gráfico 2025'!Fecha__2025_05_09_WinCalendar</vt:lpstr>
      <vt:lpstr>'CA Gráfico 2025'!Fecha__2025_05_10_WinCalendar</vt:lpstr>
      <vt:lpstr>'CA Gráfico 2025'!Fecha__2025_05_11_WinCalendar</vt:lpstr>
      <vt:lpstr>'CA Gráfico 2025'!Fecha__2025_05_12_WinCalendar</vt:lpstr>
      <vt:lpstr>'CA Gráfico 2025'!Fecha__2025_05_13_WinCalendar</vt:lpstr>
      <vt:lpstr>'CA Gráfico 2025'!Fecha__2025_05_14_WinCalendar</vt:lpstr>
      <vt:lpstr>'CA Gráfico 2025'!Fecha__2025_05_15_WinCalendar</vt:lpstr>
      <vt:lpstr>'CA Gráfico 2025'!Fecha__2025_05_16_WinCalendar</vt:lpstr>
      <vt:lpstr>'CA Gráfico 2025'!Fecha__2025_05_17_WinCalendar</vt:lpstr>
      <vt:lpstr>'CA Gráfico 2025'!Fecha__2025_05_18_WinCalendar</vt:lpstr>
      <vt:lpstr>'CA Gráfico 2025'!Fecha__2025_05_19_WinCalendar</vt:lpstr>
      <vt:lpstr>'CA Gráfico 2025'!Fecha__2025_05_20_WinCalendar</vt:lpstr>
      <vt:lpstr>'CA Gráfico 2025'!Fecha__2025_05_21_WinCalendar</vt:lpstr>
      <vt:lpstr>'CA Gráfico 2025'!Fecha__2025_05_22_WinCalendar</vt:lpstr>
      <vt:lpstr>'CA Gráfico 2025'!Fecha__2025_05_23_WinCalendar</vt:lpstr>
      <vt:lpstr>'CA Gráfico 2025'!Fecha__2025_05_24_WinCalendar</vt:lpstr>
      <vt:lpstr>'CA Gráfico 2025'!Fecha__2025_05_25_WinCalendar</vt:lpstr>
      <vt:lpstr>'CA Gráfico 2025'!Fecha__2025_05_26_WinCalendar</vt:lpstr>
      <vt:lpstr>'CA Gráfico 2025'!Fecha__2025_05_27_WinCalendar</vt:lpstr>
      <vt:lpstr>'CA Gráfico 2025'!Fecha__2025_05_28_WinCalendar</vt:lpstr>
      <vt:lpstr>'CA Gráfico 2025'!Fecha__2025_05_29_WinCalendar</vt:lpstr>
      <vt:lpstr>'CA Gráfico 2025'!Fecha__2025_05_30_WinCalendar</vt:lpstr>
      <vt:lpstr>'CA Gráfico 2025'!Fecha__2025_05_31_WinCalendar</vt:lpstr>
      <vt:lpstr>'CA Gráfico 2025'!Fecha__2025_06_01_WinCalendar</vt:lpstr>
      <vt:lpstr>'CA Gráfico 2025'!Fecha__2025_06_02_WinCalendar</vt:lpstr>
      <vt:lpstr>'CA Gráfico 2025'!Fecha__2025_06_03_WinCalendar</vt:lpstr>
      <vt:lpstr>'CA Gráfico 2025'!Fecha__2025_06_04_WinCalendar</vt:lpstr>
      <vt:lpstr>'CA Gráfico 2025'!Fecha__2025_06_05_WinCalendar</vt:lpstr>
      <vt:lpstr>'CA Gráfico 2025'!Fecha__2025_06_06_WinCalendar</vt:lpstr>
      <vt:lpstr>'CA Gráfico 2025'!Fecha__2025_06_07_WinCalendar</vt:lpstr>
      <vt:lpstr>'CA Gráfico 2025'!Fecha__2025_06_08_WinCalendar</vt:lpstr>
      <vt:lpstr>'CA Gráfico 2025'!Fecha__2025_06_09_WinCalendar</vt:lpstr>
      <vt:lpstr>'CA Gráfico 2025'!Fecha__2025_06_10_WinCalendar</vt:lpstr>
      <vt:lpstr>'CA Gráfico 2025'!Fecha__2025_06_11_WinCalendar</vt:lpstr>
      <vt:lpstr>'CA Gráfico 2025'!Fecha__2025_06_12_WinCalendar</vt:lpstr>
      <vt:lpstr>'CA Gráfico 2025'!Fecha__2025_06_13_WinCalendar</vt:lpstr>
      <vt:lpstr>'CA Gráfico 2025'!Fecha__2025_06_14_WinCalendar</vt:lpstr>
      <vt:lpstr>'CA Gráfico 2025'!Fecha__2025_06_15_WinCalendar</vt:lpstr>
      <vt:lpstr>'CA Gráfico 2025'!Fecha__2025_06_16_WinCalendar</vt:lpstr>
      <vt:lpstr>'CA Gráfico 2025'!Fecha__2025_06_17_WinCalendar</vt:lpstr>
      <vt:lpstr>'CA Gráfico 2025'!Fecha__2025_06_18_WinCalendar</vt:lpstr>
      <vt:lpstr>'CA Gráfico 2025'!Fecha__2025_06_19_WinCalendar</vt:lpstr>
      <vt:lpstr>'CA Gráfico 2025'!Fecha__2025_06_20_WinCalendar</vt:lpstr>
      <vt:lpstr>'CA Gráfico 2025'!Fecha__2025_06_21_WinCalendar</vt:lpstr>
      <vt:lpstr>'CA Gráfico 2025'!Fecha__2025_06_22_WinCalendar</vt:lpstr>
      <vt:lpstr>'CA Gráfico 2025'!Fecha__2025_06_23_WinCalendar</vt:lpstr>
      <vt:lpstr>'CA Gráfico 2025'!Fecha__2025_06_24_WinCalendar</vt:lpstr>
      <vt:lpstr>'CA Gráfico 2025'!Fecha__2025_06_25_WinCalendar</vt:lpstr>
      <vt:lpstr>'CA Gráfico 2025'!Fecha__2025_06_26_WinCalendar</vt:lpstr>
      <vt:lpstr>'CA Gráfico 2025'!Fecha__2025_06_27_WinCalendar</vt:lpstr>
      <vt:lpstr>'CA Gráfico 2025'!Fecha__2025_06_28_WinCalendar</vt:lpstr>
      <vt:lpstr>'CA Gráfico 2025'!Fecha__2025_06_29_WinCalendar</vt:lpstr>
      <vt:lpstr>'CA Gráfico 2025'!Fecha__2025_06_30_WinCalendar</vt:lpstr>
      <vt:lpstr>'CA Gráfico 2025'!Fecha__2025_07_01_WinCalendar</vt:lpstr>
      <vt:lpstr>'CA Gráfico 2025'!Fecha__2025_07_02_WinCalendar</vt:lpstr>
      <vt:lpstr>'CA Gráfico 2025'!Fecha__2025_07_03_WinCalendar</vt:lpstr>
      <vt:lpstr>'CA Gráfico 2025'!Fecha__2025_07_04_WinCalendar</vt:lpstr>
      <vt:lpstr>'CA Gráfico 2025'!Fecha__2025_07_05_WinCalendar</vt:lpstr>
      <vt:lpstr>'CA Gráfico 2025'!Fecha__2025_07_06_WinCalendar</vt:lpstr>
      <vt:lpstr>'CA Gráfico 2025'!Fecha__2025_07_07_WinCalendar</vt:lpstr>
      <vt:lpstr>'CA Gráfico 2025'!Fecha__2025_07_08_WinCalendar</vt:lpstr>
      <vt:lpstr>'CA Gráfico 2025'!Fecha__2025_07_09_WinCalendar</vt:lpstr>
      <vt:lpstr>'CA Gráfico 2025'!Fecha__2025_07_10_WinCalendar</vt:lpstr>
      <vt:lpstr>'CA Gráfico 2025'!Fecha__2025_07_11_WinCalendar</vt:lpstr>
      <vt:lpstr>'CA Gráfico 2025'!Fecha__2025_07_12_WinCalendar</vt:lpstr>
      <vt:lpstr>'CA Gráfico 2025'!Fecha__2025_07_13_WinCalendar</vt:lpstr>
      <vt:lpstr>'CA Gráfico 2025'!Fecha__2025_07_14_WinCalendar</vt:lpstr>
      <vt:lpstr>'CA Gráfico 2025'!Fecha__2025_07_15_WinCalendar</vt:lpstr>
      <vt:lpstr>'CA Gráfico 2025'!Fecha__2025_07_16_WinCalendar</vt:lpstr>
      <vt:lpstr>'CA Gráfico 2025'!Fecha__2025_07_17_WinCalendar</vt:lpstr>
      <vt:lpstr>'CA Gráfico 2025'!Fecha__2025_07_18_WinCalendar</vt:lpstr>
      <vt:lpstr>'CA Gráfico 2025'!Fecha__2025_07_19_WinCalendar</vt:lpstr>
      <vt:lpstr>'CA Gráfico 2025'!Fecha__2025_07_20_WinCalendar</vt:lpstr>
      <vt:lpstr>'CA Gráfico 2025'!Fecha__2025_07_21_WinCalendar</vt:lpstr>
      <vt:lpstr>'CA Gráfico 2025'!Fecha__2025_07_22_WinCalendar</vt:lpstr>
      <vt:lpstr>'CA Gráfico 2025'!Fecha__2025_07_23_WinCalendar</vt:lpstr>
      <vt:lpstr>'CA Gráfico 2025'!Fecha__2025_07_24_WinCalendar</vt:lpstr>
      <vt:lpstr>'CA Gráfico 2025'!Fecha__2025_07_25_WinCalendar</vt:lpstr>
      <vt:lpstr>'CA Gráfico 2025'!Fecha__2025_07_26_WinCalendar</vt:lpstr>
      <vt:lpstr>'CA Gráfico 2025'!Fecha__2025_07_27_WinCalendar</vt:lpstr>
      <vt:lpstr>'CA Gráfico 2025'!Fecha__2025_07_28_WinCalendar</vt:lpstr>
      <vt:lpstr>'CA Gráfico 2025'!Fecha__2025_07_29_WinCalendar</vt:lpstr>
      <vt:lpstr>'CA Gráfico 2025'!Fecha__2025_07_30_WinCalendar</vt:lpstr>
      <vt:lpstr>'CA Gráfico 2025'!Fecha__2025_07_31_WinCalendar</vt:lpstr>
      <vt:lpstr>'CA Gráfico 2025'!Fecha__2025_08_01_WinCalendar</vt:lpstr>
      <vt:lpstr>'CA Gráfico 2025'!Fecha__2025_08_02_WinCalendar</vt:lpstr>
      <vt:lpstr>'CA Gráfico 2025'!Fecha__2025_08_03_WinCalendar</vt:lpstr>
      <vt:lpstr>'CA Gráfico 2025'!Fecha__2025_08_04_WinCalendar</vt:lpstr>
      <vt:lpstr>'CA Gráfico 2025'!Fecha__2025_08_05_WinCalendar</vt:lpstr>
      <vt:lpstr>'CA Gráfico 2025'!Fecha__2025_08_06_WinCalendar</vt:lpstr>
      <vt:lpstr>'CA Gráfico 2025'!Fecha__2025_08_07_WinCalendar</vt:lpstr>
      <vt:lpstr>'CA Gráfico 2025'!Fecha__2025_08_08_WinCalendar</vt:lpstr>
      <vt:lpstr>'CA Gráfico 2025'!Fecha__2025_08_09_WinCalendar</vt:lpstr>
      <vt:lpstr>'CA Gráfico 2025'!Fecha__2025_08_10_WinCalendar</vt:lpstr>
      <vt:lpstr>'CA Gráfico 2025'!Fecha__2025_08_11_WinCalendar</vt:lpstr>
      <vt:lpstr>'CA Gráfico 2025'!Fecha__2025_08_12_WinCalendar</vt:lpstr>
      <vt:lpstr>'CA Gráfico 2025'!Fecha__2025_08_13_WinCalendar</vt:lpstr>
      <vt:lpstr>'CA Gráfico 2025'!Fecha__2025_08_14_WinCalendar</vt:lpstr>
      <vt:lpstr>'CA Gráfico 2025'!Fecha__2025_08_15_WinCalendar</vt:lpstr>
      <vt:lpstr>'CA Gráfico 2025'!Fecha__2025_08_16_WinCalendar</vt:lpstr>
      <vt:lpstr>'CA Gráfico 2025'!Fecha__2025_08_17_WinCalendar</vt:lpstr>
      <vt:lpstr>'CA Gráfico 2025'!Fecha__2025_08_18_WinCalendar</vt:lpstr>
      <vt:lpstr>'CA Gráfico 2025'!Fecha__2025_08_19_WinCalendar</vt:lpstr>
      <vt:lpstr>'CA Gráfico 2025'!Fecha__2025_08_20_WinCalendar</vt:lpstr>
      <vt:lpstr>'CA Gráfico 2025'!Fecha__2025_08_21_WinCalendar</vt:lpstr>
      <vt:lpstr>'CA Gráfico 2025'!Fecha__2025_08_22_WinCalendar</vt:lpstr>
      <vt:lpstr>'CA Gráfico 2025'!Fecha__2025_08_23_WinCalendar</vt:lpstr>
      <vt:lpstr>'CA Gráfico 2025'!Fecha__2025_08_24_WinCalendar</vt:lpstr>
      <vt:lpstr>'CA Gráfico 2025'!Fecha__2025_08_25_WinCalendar</vt:lpstr>
      <vt:lpstr>'CA Gráfico 2025'!Fecha__2025_08_26_WinCalendar</vt:lpstr>
      <vt:lpstr>'CA Gráfico 2025'!Fecha__2025_08_27_WinCalendar</vt:lpstr>
      <vt:lpstr>'CA Gráfico 2025'!Fecha__2025_08_28_WinCalendar</vt:lpstr>
      <vt:lpstr>'CA Gráfico 2025'!Fecha__2025_08_29_WinCalendar</vt:lpstr>
      <vt:lpstr>'CA Gráfico 2025'!Fecha__2025_08_30_WinCalendar</vt:lpstr>
      <vt:lpstr>'CA Gráfico 2025'!Fecha__2025_08_31_WinCalendar</vt:lpstr>
      <vt:lpstr>'CA Gráfico 2025'!Fecha__2025_09_01_WinCalendar</vt:lpstr>
      <vt:lpstr>'CA Gráfico 2025'!Fecha__2025_09_02_WinCalendar</vt:lpstr>
      <vt:lpstr>'CA Gráfico 2025'!Fecha__2025_09_03_WinCalendar</vt:lpstr>
      <vt:lpstr>'CA Gráfico 2025'!Fecha__2025_09_04_WinCalendar</vt:lpstr>
      <vt:lpstr>'CA Gráfico 2025'!Fecha__2025_09_05_WinCalendar</vt:lpstr>
      <vt:lpstr>'CA Gráfico 2025'!Fecha__2025_09_06_WinCalendar</vt:lpstr>
      <vt:lpstr>'CA Gráfico 2025'!Fecha__2025_09_07_WinCalendar</vt:lpstr>
      <vt:lpstr>'CA Gráfico 2025'!Fecha__2025_09_08_WinCalendar</vt:lpstr>
      <vt:lpstr>'CA Gráfico 2025'!Fecha__2025_09_09_WinCalendar</vt:lpstr>
      <vt:lpstr>'CA Gráfico 2025'!Fecha__2025_09_10_WinCalendar</vt:lpstr>
      <vt:lpstr>'CA Gráfico 2025'!Fecha__2025_09_11_WinCalendar</vt:lpstr>
      <vt:lpstr>'CA Gráfico 2025'!Fecha__2025_09_12_WinCalendar</vt:lpstr>
      <vt:lpstr>'CA Gráfico 2025'!Fecha__2025_09_13_WinCalendar</vt:lpstr>
      <vt:lpstr>'CA Gráfico 2025'!Fecha__2025_09_14_WinCalendar</vt:lpstr>
      <vt:lpstr>'CA Gráfico 2025'!Fecha__2025_09_15_WinCalendar</vt:lpstr>
      <vt:lpstr>'CA Gráfico 2025'!Fecha__2025_09_16_WinCalendar</vt:lpstr>
      <vt:lpstr>'CA Gráfico 2025'!Fecha__2025_09_17_WinCalendar</vt:lpstr>
      <vt:lpstr>'CA Gráfico 2025'!Fecha__2025_09_18_WinCalendar</vt:lpstr>
      <vt:lpstr>'CA Gráfico 2025'!Fecha__2025_09_19_WinCalendar</vt:lpstr>
      <vt:lpstr>'CA Gráfico 2025'!Fecha__2025_09_20_WinCalendar</vt:lpstr>
      <vt:lpstr>'CA Gráfico 2025'!Fecha__2025_09_21_WinCalendar</vt:lpstr>
      <vt:lpstr>'CA Gráfico 2025'!Fecha__2025_09_22_WinCalendar</vt:lpstr>
      <vt:lpstr>'CA Gráfico 2025'!Fecha__2025_09_23_WinCalendar</vt:lpstr>
      <vt:lpstr>'CA Gráfico 2025'!Fecha__2025_09_24_WinCalendar</vt:lpstr>
      <vt:lpstr>'CA Gráfico 2025'!Fecha__2025_09_25_WinCalendar</vt:lpstr>
      <vt:lpstr>'CA Gráfico 2025'!Fecha__2025_09_26_WinCalendar</vt:lpstr>
      <vt:lpstr>'CA Gráfico 2025'!Fecha__2025_09_27_WinCalendar</vt:lpstr>
      <vt:lpstr>'CA Gráfico 2025'!Fecha__2025_09_28_WinCalendar</vt:lpstr>
      <vt:lpstr>'CA Gráfico 2025'!Fecha__2025_09_29_WinCalendar</vt:lpstr>
      <vt:lpstr>'CA Gráfico 2025'!Fecha__2025_09_30_WinCalendar</vt:lpstr>
      <vt:lpstr>'CA Gráfico 2025'!Fecha__2025_10_01_WinCalendar</vt:lpstr>
      <vt:lpstr>'CA Gráfico 2025'!Fecha__2025_10_02_WinCalendar</vt:lpstr>
      <vt:lpstr>'CA Gráfico 2025'!Fecha__2025_10_03_WinCalendar</vt:lpstr>
      <vt:lpstr>'CA Gráfico 2025'!Fecha__2025_10_04_WinCalendar</vt:lpstr>
      <vt:lpstr>'CA Gráfico 2025'!Fecha__2025_10_05_WinCalendar</vt:lpstr>
      <vt:lpstr>'CA Gráfico 2025'!Fecha__2025_10_06_WinCalendar</vt:lpstr>
      <vt:lpstr>'CA Gráfico 2025'!Fecha__2025_10_07_WinCalendar</vt:lpstr>
      <vt:lpstr>'CA Gráfico 2025'!Fecha__2025_10_08_WinCalendar</vt:lpstr>
      <vt:lpstr>'CA Gráfico 2025'!Fecha__2025_10_09_WinCalendar</vt:lpstr>
      <vt:lpstr>'CA Gráfico 2025'!Fecha__2025_10_10_WinCalendar</vt:lpstr>
      <vt:lpstr>'CA Gráfico 2025'!Fecha__2025_10_11_WinCalendar</vt:lpstr>
      <vt:lpstr>'CA Gráfico 2025'!Fecha__2025_10_12_WinCalendar</vt:lpstr>
      <vt:lpstr>'CA Gráfico 2025'!Fecha__2025_10_13_WinCalendar</vt:lpstr>
      <vt:lpstr>'CA Gráfico 2025'!Fecha__2025_10_14_WinCalendar</vt:lpstr>
      <vt:lpstr>'CA Gráfico 2025'!Fecha__2025_10_15_WinCalendar</vt:lpstr>
      <vt:lpstr>'CA Gráfico 2025'!Fecha__2025_10_16_WinCalendar</vt:lpstr>
      <vt:lpstr>'CA Gráfico 2025'!Fecha__2025_10_17_WinCalendar</vt:lpstr>
      <vt:lpstr>'CA Gráfico 2025'!Fecha__2025_10_18_WinCalendar</vt:lpstr>
      <vt:lpstr>'CA Gráfico 2025'!Fecha__2025_10_19_WinCalendar</vt:lpstr>
      <vt:lpstr>'CA Gráfico 2025'!Fecha__2025_10_20_WinCalendar</vt:lpstr>
      <vt:lpstr>'CA Gráfico 2025'!Fecha__2025_10_21_WinCalendar</vt:lpstr>
      <vt:lpstr>'CA Gráfico 2025'!Fecha__2025_10_22_WinCalendar</vt:lpstr>
      <vt:lpstr>'CA Gráfico 2025'!Fecha__2025_10_23_WinCalendar</vt:lpstr>
      <vt:lpstr>'CA Gráfico 2025'!Fecha__2025_10_24_WinCalendar</vt:lpstr>
      <vt:lpstr>'CA Gráfico 2025'!Fecha__2025_10_25_WinCalendar</vt:lpstr>
      <vt:lpstr>'CA Gráfico 2025'!Fecha__2025_10_26_WinCalendar</vt:lpstr>
      <vt:lpstr>'CA Gráfico 2025'!Fecha__2025_10_27_WinCalendar</vt:lpstr>
      <vt:lpstr>'CA Gráfico 2025'!Fecha__2025_10_28_WinCalendar</vt:lpstr>
      <vt:lpstr>'CA Gráfico 2025'!Fecha__2025_10_29_WinCalendar</vt:lpstr>
      <vt:lpstr>'CA Gráfico 2025'!Fecha__2025_10_30_WinCalendar</vt:lpstr>
      <vt:lpstr>'CA Gráfico 2025'!Fecha__2025_10_31_WinCalendar</vt:lpstr>
      <vt:lpstr>'CA Gráfico 2025'!Fecha__2025_11_01_WinCalendar</vt:lpstr>
      <vt:lpstr>'CA Gráfico 2025'!Fecha__2025_11_02_WinCalendar</vt:lpstr>
      <vt:lpstr>'CA Gráfico 2025'!Fecha__2025_11_03_WinCalendar</vt:lpstr>
      <vt:lpstr>'CA Gráfico 2025'!Fecha__2025_11_04_WinCalendar</vt:lpstr>
      <vt:lpstr>'CA Gráfico 2025'!Fecha__2025_11_05_WinCalendar</vt:lpstr>
      <vt:lpstr>'CA Gráfico 2025'!Fecha__2025_11_06_WinCalendar</vt:lpstr>
      <vt:lpstr>'CA Gráfico 2025'!Fecha__2025_11_07_WinCalendar</vt:lpstr>
      <vt:lpstr>'CA Gráfico 2025'!Fecha__2025_11_08_WinCalendar</vt:lpstr>
      <vt:lpstr>'CA Gráfico 2025'!Fecha__2025_11_09_WinCalendar</vt:lpstr>
      <vt:lpstr>'CA Gráfico 2025'!Fecha__2025_11_10_WinCalendar</vt:lpstr>
      <vt:lpstr>'CA Gráfico 2025'!Fecha__2025_11_11_WinCalendar</vt:lpstr>
      <vt:lpstr>'CA Gráfico 2025'!Fecha__2025_11_12_WinCalendar</vt:lpstr>
      <vt:lpstr>'CA Gráfico 2025'!Fecha__2025_11_13_WinCalendar</vt:lpstr>
      <vt:lpstr>'CA Gráfico 2025'!Fecha__2025_11_14_WinCalendar</vt:lpstr>
      <vt:lpstr>'CA Gráfico 2025'!Fecha__2025_11_15_WinCalendar</vt:lpstr>
      <vt:lpstr>'CA Gráfico 2025'!Fecha__2025_11_16_WinCalendar</vt:lpstr>
      <vt:lpstr>'CA Gráfico 2025'!Fecha__2025_11_17_WinCalendar</vt:lpstr>
      <vt:lpstr>'CA Gráfico 2025'!Fecha__2025_11_18_WinCalendar</vt:lpstr>
      <vt:lpstr>'CA Gráfico 2025'!Fecha__2025_11_19_WinCalendar</vt:lpstr>
      <vt:lpstr>'CA Gráfico 2025'!Fecha__2025_11_20_WinCalendar</vt:lpstr>
      <vt:lpstr>'CA Gráfico 2025'!Fecha__2025_11_21_WinCalendar</vt:lpstr>
      <vt:lpstr>'CA Gráfico 2025'!Fecha__2025_11_22_WinCalendar</vt:lpstr>
      <vt:lpstr>'CA Gráfico 2025'!Fecha__2025_11_23_WinCalendar</vt:lpstr>
      <vt:lpstr>'CA Gráfico 2025'!Fecha__2025_11_24_WinCalendar</vt:lpstr>
      <vt:lpstr>'CA Gráfico 2025'!Fecha__2025_11_25_WinCalendar</vt:lpstr>
      <vt:lpstr>'CA Gráfico 2025'!Fecha__2025_11_26_WinCalendar</vt:lpstr>
      <vt:lpstr>'CA Gráfico 2025'!Fecha__2025_11_27_WinCalendar</vt:lpstr>
      <vt:lpstr>'CA Gráfico 2025'!Fecha__2025_11_28_WinCalendar</vt:lpstr>
      <vt:lpstr>'CA Gráfico 2025'!Fecha__2025_11_29_WinCalendar</vt:lpstr>
      <vt:lpstr>'CA Gráfico 2025'!Fecha__2025_11_30_WinCalendar</vt:lpstr>
      <vt:lpstr>'CA Gráfico 2025'!Fecha__2025_12_01_WinCalendar</vt:lpstr>
      <vt:lpstr>'CA Gráfico 2025'!Fecha__2025_12_02_WinCalendar</vt:lpstr>
      <vt:lpstr>'CA Gráfico 2025'!Fecha__2025_12_03_WinCalendar</vt:lpstr>
      <vt:lpstr>'CA Gráfico 2025'!Fecha__2025_12_04_WinCalendar</vt:lpstr>
      <vt:lpstr>'CA Gráfico 2025'!Fecha__2025_12_05_WinCalendar</vt:lpstr>
      <vt:lpstr>'CA Gráfico 2025'!Fecha__2025_12_06_WinCalendar</vt:lpstr>
      <vt:lpstr>'CA Gráfico 2025'!Fecha__2025_12_07_WinCalendar</vt:lpstr>
      <vt:lpstr>'CA Gráfico 2025'!Fecha__2025_12_08_WinCalendar</vt:lpstr>
      <vt:lpstr>'CA Gráfico 2025'!Fecha__2025_12_09_WinCalendar</vt:lpstr>
      <vt:lpstr>'CA Gráfico 2025'!Fecha__2025_12_10_WinCalendar</vt:lpstr>
      <vt:lpstr>'CA Gráfico 2025'!Fecha__2025_12_11_WinCalendar</vt:lpstr>
      <vt:lpstr>'CA Gráfico 2025'!Fecha__2025_12_12_WinCalendar</vt:lpstr>
      <vt:lpstr>'CA Gráfico 2025'!Fecha__2025_12_13_WinCalendar</vt:lpstr>
      <vt:lpstr>'CA Gráfico 2025'!Fecha__2025_12_14_WinCalendar</vt:lpstr>
      <vt:lpstr>'CA Gráfico 2025'!Fecha__2025_12_15_WinCalendar</vt:lpstr>
      <vt:lpstr>'CA Gráfico 2025'!Fecha__2025_12_16_WinCalendar</vt:lpstr>
      <vt:lpstr>'CA Gráfico 2025'!Fecha__2025_12_17_WinCalendar</vt:lpstr>
      <vt:lpstr>'CA Gráfico 2025'!Fecha__2025_12_18_WinCalendar</vt:lpstr>
      <vt:lpstr>'CA Gráfico 2025'!Fecha__2025_12_19_WinCalendar</vt:lpstr>
      <vt:lpstr>'CA Gráfico 2025'!Fecha__2025_12_20_WinCalendar</vt:lpstr>
      <vt:lpstr>'CA Gráfico 2025'!Fecha__2025_12_21_WinCalendar</vt:lpstr>
      <vt:lpstr>'CA Gráfico 2025'!Fecha__2025_12_22_WinCalendar</vt:lpstr>
      <vt:lpstr>'CA Gráfico 2025'!Fecha__2025_12_23_WinCalendar</vt:lpstr>
      <vt:lpstr>'CA Gráfico 2025'!Fecha__2025_12_24_WinCalendar</vt:lpstr>
      <vt:lpstr>'CA Gráfico 2025'!Fecha__2025_12_25_WinCalendar</vt:lpstr>
      <vt:lpstr>'CA Gráfico 2025'!Fecha__2025_12_26_WinCalendar</vt:lpstr>
      <vt:lpstr>'CA Gráfico 2025'!Fecha__2025_12_27_WinCalendar</vt:lpstr>
      <vt:lpstr>'CA Gráfico 2025'!Fecha__2025_12_28_WinCalendar</vt:lpstr>
      <vt:lpstr>'CA Gráfico 2025'!Fecha__2025_12_29_WinCalendar</vt:lpstr>
      <vt:lpstr>'CA Gráfico 2025'!Fecha__2025_12_30_WinCalendar</vt:lpstr>
      <vt:lpstr>'CA Gráfico 2025'!Fecha__2025_12_31_WinCalendar</vt:lpstr>
      <vt:lpstr>'CA Gráfico 2025'!WinCalendar_Calendar_1</vt:lpstr>
      <vt:lpstr>'CA Gráfico 2025'!WinCalendar_Calendar_10</vt:lpstr>
      <vt:lpstr>'CA Gráfico 2025'!WinCalendar_Calendar_11</vt:lpstr>
      <vt:lpstr>'CA Gráfico 2025'!WinCalendar_Calendar_12</vt:lpstr>
      <vt:lpstr>'CA Gráfico 2025'!WinCalendar_Calendar_2</vt:lpstr>
      <vt:lpstr>'CA Gráfico 2025'!WinCalendar_Calendar_3</vt:lpstr>
      <vt:lpstr>'CA Gráfico 2025'!WinCalendar_Calendar_4</vt:lpstr>
      <vt:lpstr>'CA Gráfico 2025'!WinCalendar_Calendar_5</vt:lpstr>
      <vt:lpstr>'CA Gráfico 2025'!WinCalendar_Calendar_6</vt:lpstr>
      <vt:lpstr>'CA Gráfico 2025'!WinCalendar_Calendar_7</vt:lpstr>
      <vt:lpstr>'CA Gráfico 2025'!WinCalendar_Calendar_8</vt:lpstr>
      <vt:lpstr>'CA Gráfico 2025'!WinCalendar_Calendar_9</vt:lpstr>
    </vt:vector>
  </TitlesOfParts>
  <Company>WinCalendar.com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Calendario 2027- Chile</dc:title>
  <dc:creator>WinCalendar</dc:creator>
  <cp:keywords>Calendario 2027 - Chile,Calendario anual diseñado para imprimir en 1 página.</cp:keywords>
  <cp:lastModifiedBy>Carlos Tucapel G.</cp:lastModifiedBy>
  <cp:lastPrinted>2026-09-09T17:31:36Z</cp:lastPrinted>
  <dcterms:created xsi:type="dcterms:W3CDTF">2023-11-25T17:12:24Z</dcterms:created>
  <dcterms:modified xsi:type="dcterms:W3CDTF">2026-09-09T21:40:36Z</dcterms:modified>
</cp:coreProperties>
</file>